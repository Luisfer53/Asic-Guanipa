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tabRatio="820"/>
  </bookViews>
  <sheets>
    <sheet name="SE-01" sheetId="1" r:id="rId1"/>
  </sheets>
  <definedNames>
    <definedName name="_xlnm._FilterDatabase" localSheetId="0" hidden="1">'SE-01'!$A$3:$B$36</definedName>
    <definedName name="dias_semana" localSheetId="0">#REF!</definedName>
    <definedName name="dias_semana">#REF!</definedName>
    <definedName name="dias_semanas" localSheetId="0">#REF!</definedName>
    <definedName name="dias_semanas">#REF!</definedName>
    <definedName name="semana" localSheetId="0">#REF!</definedName>
    <definedName name="semana">#REF!</definedName>
    <definedName name="semanas" localSheetId="0">#REF!</definedName>
    <definedName name="semanas">#REF!</definedName>
    <definedName name="si" localSheetId="0">#REF!</definedName>
    <definedName name="si">#REF!</definedName>
    <definedName name="si_no" localSheetId="0">#REF!</definedName>
    <definedName name="si_n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<sst xmlns="http://schemas.openxmlformats.org/spreadsheetml/2006/main" count="184" uniqueCount="137">
  <si>
    <t>VACUNACIÓN INTRAMURAL</t>
  </si>
  <si>
    <t>PLAN SALUD VA A LA ESCUELA</t>
  </si>
  <si>
    <t>PLAN LUCIÉRNAGA</t>
  </si>
  <si>
    <t>OTRAS EXTRAMURALES</t>
  </si>
  <si>
    <t>VIGILANCIA EPV</t>
  </si>
  <si>
    <t>POBLACION VACUNADA</t>
  </si>
  <si>
    <t>DOSIS ADMINISTRADAS (TOTALES)</t>
  </si>
  <si>
    <t>DOSIS ADMINISTRADAS</t>
  </si>
  <si>
    <t>CENTROS ABORDADOS</t>
  </si>
  <si>
    <t>RENDIMIENTO</t>
  </si>
  <si>
    <t>NO TOCAR ESTAS CELDAS</t>
  </si>
  <si>
    <t>PUESTOS DE VACUNACIÓN ACTIVOS</t>
  </si>
  <si>
    <t>NÚMERO DE BRIGADAS</t>
  </si>
  <si>
    <t>VACUNADORES ACTIVOS</t>
  </si>
  <si>
    <t>EXTRAMURAL - SECTORES ABORDADOS</t>
  </si>
  <si>
    <t xml:space="preserve"> INSTITUCIONES EDUCATIVAS ABORDADAS</t>
  </si>
  <si>
    <t>ESAVI</t>
  </si>
  <si>
    <t>BAI</t>
  </si>
  <si>
    <t>BAC</t>
  </si>
  <si>
    <t>&lt; 1 AÑO</t>
  </si>
  <si>
    <t>1 AÑO</t>
  </si>
  <si>
    <t>2 -4 AÑOS</t>
  </si>
  <si>
    <t>5 AÑOS</t>
  </si>
  <si>
    <t>6 - 9 AÑOS</t>
  </si>
  <si>
    <t>10 AÑOS</t>
  </si>
  <si>
    <t>&gt; 11 AÑOS</t>
  </si>
  <si>
    <t>GESTANTES</t>
  </si>
  <si>
    <t>BCG
 (&lt; 1 AÑO)</t>
  </si>
  <si>
    <t>HEP B (PED)</t>
  </si>
  <si>
    <t>PENTA 1D
 (&lt; 1 AÑO)</t>
  </si>
  <si>
    <t>PENTA 2D
 (&lt; 1 AÑO)</t>
  </si>
  <si>
    <t>PENTA 3D
 (&lt; 1 AÑO)</t>
  </si>
  <si>
    <t>PENTA 1D
(1 A 6 AÑOS)</t>
  </si>
  <si>
    <t>PENTA 2D
(1 A 6 AÑOS)</t>
  </si>
  <si>
    <t>PENTA 3D
(1 A 6 AÑOS)</t>
  </si>
  <si>
    <t>PENTA 
1 REF
1 AÑO</t>
  </si>
  <si>
    <t>PENTA 
1 REF
2 a 6 AÑOS</t>
  </si>
  <si>
    <t>PENTA 
2 REF
5 AÑOS</t>
  </si>
  <si>
    <t>PENTA 
2 REF
6 AÑOS</t>
  </si>
  <si>
    <t>IPV 1D
 (&lt; 1 AÑO)</t>
  </si>
  <si>
    <t>IPV 2D
 (&lt; 1 AÑO)</t>
  </si>
  <si>
    <t>IPV 1D
 (1  A 5 AÑOS)</t>
  </si>
  <si>
    <t>IPV 2D
 (1 A 5 AÑOS)</t>
  </si>
  <si>
    <t>BOPV 3D
(&lt; 1 AÑO)</t>
  </si>
  <si>
    <t>BOPV 3D
(1 A 5 AÑOS)</t>
  </si>
  <si>
    <t>POLIO
 1 REF
(1 AÑO)</t>
  </si>
  <si>
    <t>POLIO
 1 REF
(2 a 5 AÑOS)</t>
  </si>
  <si>
    <t>POLIO
 2 REF
(5 AÑOS)</t>
  </si>
  <si>
    <t>SRP1
(1 AÑO)</t>
  </si>
  <si>
    <t>SRP 2
(1 AÑO)</t>
  </si>
  <si>
    <t>SRP/SR 1
(2-5 AÑOS)</t>
  </si>
  <si>
    <t>SRP/SR 2
(2-5 AÑOS)</t>
  </si>
  <si>
    <t>FIEBRE 
AMARILLA
(1 AÑO)</t>
  </si>
  <si>
    <t>FIEBRE 
AMARILLA
(2 A 59 AÑOS)</t>
  </si>
  <si>
    <t xml:space="preserve">FIEBRE AMARILLA &gt; 60 años
</t>
  </si>
  <si>
    <t>TD MENOR DE 10 AÑOS</t>
  </si>
  <si>
    <t>TD ESCOLAR</t>
  </si>
  <si>
    <t>TOXOIDE ADULTOS</t>
  </si>
  <si>
    <t>TD GESTANTE</t>
  </si>
  <si>
    <t>IPV 6 A 8 AÑOS</t>
  </si>
  <si>
    <t>HEPATITIS B EMBARAZADAS</t>
  </si>
  <si>
    <t>HEPATITIS B DIALISIS</t>
  </si>
  <si>
    <t>HEPATITIS B PERSONAL DEL SECTOR SALUD</t>
  </si>
  <si>
    <t>BCG</t>
  </si>
  <si>
    <t>PENTA</t>
  </si>
  <si>
    <t xml:space="preserve">IPV </t>
  </si>
  <si>
    <t xml:space="preserve">BOPV </t>
  </si>
  <si>
    <t>SRP/SR</t>
  </si>
  <si>
    <t>FIEBRE AMARILLA</t>
  </si>
  <si>
    <t>TOXOIDE</t>
  </si>
  <si>
    <t>MATERNAL</t>
  </si>
  <si>
    <t>INICIAL</t>
  </si>
  <si>
    <t>PRIMARIA</t>
  </si>
  <si>
    <t>OTROS (MEDIA-DIVERSIF)</t>
  </si>
  <si>
    <t>PENTA
 (1-2-3)</t>
  </si>
  <si>
    <t>PENTA 1REF</t>
  </si>
  <si>
    <t>PENTA 2REF</t>
  </si>
  <si>
    <t>IPV (&lt;1A 8A.)</t>
  </si>
  <si>
    <t>BOPV 3D</t>
  </si>
  <si>
    <t>BOPV 1REF</t>
  </si>
  <si>
    <t>BOPV 2REF</t>
  </si>
  <si>
    <t>SRP1</t>
  </si>
  <si>
    <t>SRP2</t>
  </si>
  <si>
    <t>FIEBRE AMARILLA 1A.</t>
  </si>
  <si>
    <t>FIEBRE AMARILLA (2 a 59 años)</t>
  </si>
  <si>
    <t>TD 
(7 A 10 AÑOS)</t>
  </si>
  <si>
    <t>TD (ADULTO)</t>
  </si>
  <si>
    <t>PUESTO ACTIVO CON EL PLAN</t>
  </si>
  <si>
    <t>COMUNIDADES ABORDADAS</t>
  </si>
  <si>
    <t>CASAS VISITADAS</t>
  </si>
  <si>
    <t>PERSONAS BENEFICIADAS</t>
  </si>
  <si>
    <t>IPV (INCLUYA DE &lt;1a. A 8 a.)</t>
  </si>
  <si>
    <t>IPV &lt;1 AÑO A 8 AÑOS</t>
  </si>
  <si>
    <t>PERSONAS VACUNADAS</t>
  </si>
  <si>
    <t>DOSIS ADMINISTRADAS DE RUTINA</t>
  </si>
  <si>
    <t>DOSIS SUSCEPTIBLES 1 A 8A.</t>
  </si>
  <si>
    <t>DOSIS ADULTOS TD+ FA</t>
  </si>
  <si>
    <t>ASIC QUE REPORTARON</t>
  </si>
  <si>
    <t>RENDIMINETO DE BRIGADA</t>
  </si>
  <si>
    <t>INTRAMURAL</t>
  </si>
  <si>
    <t>SALUD VA A LA ESCUELA</t>
  </si>
  <si>
    <t>PLAN LUCIERNAGA</t>
  </si>
  <si>
    <t>E</t>
  </si>
  <si>
    <t>ANZOÁTEGUI</t>
  </si>
  <si>
    <t>A</t>
  </si>
  <si>
    <t>Ali Primera</t>
  </si>
  <si>
    <t>Antiguo Aeropuerto</t>
  </si>
  <si>
    <t>Antiguo Hospital</t>
  </si>
  <si>
    <t>Barrio Sucre</t>
  </si>
  <si>
    <t>Campo Claro</t>
  </si>
  <si>
    <t>Campo Oficina</t>
  </si>
  <si>
    <t>Capistrano</t>
  </si>
  <si>
    <t>Choreron</t>
  </si>
  <si>
    <t>Clarines</t>
  </si>
  <si>
    <t>Cueva De Guanire</t>
  </si>
  <si>
    <t>El Bayito</t>
  </si>
  <si>
    <t>Escuela Técnica</t>
  </si>
  <si>
    <t>Fogades</t>
  </si>
  <si>
    <t>Francisco De Miranda</t>
  </si>
  <si>
    <t>La Matanza</t>
  </si>
  <si>
    <t>Las Colinas</t>
  </si>
  <si>
    <t>Mapire</t>
  </si>
  <si>
    <t>Mc Gregor</t>
  </si>
  <si>
    <t>Mesones</t>
  </si>
  <si>
    <t>Naricual</t>
  </si>
  <si>
    <t>Onoto</t>
  </si>
  <si>
    <t>Paraiso</t>
  </si>
  <si>
    <t>Pedro Maria Freites</t>
  </si>
  <si>
    <t>Piritu-Peñalver</t>
  </si>
  <si>
    <t>San José</t>
  </si>
  <si>
    <t>San José De Guanipa</t>
  </si>
  <si>
    <t>San Mateo</t>
  </si>
  <si>
    <t>Santa Ana</t>
  </si>
  <si>
    <t>Soledad</t>
  </si>
  <si>
    <t>Urbaneja</t>
  </si>
  <si>
    <t>Valle De Guanape</t>
  </si>
  <si>
    <t>|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</si>
</sst>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A]dd\-mmm"/>
  </numFmts>
  <fonts count="35">
    <font>
      <sz val="11"/>
      <name val="Calibri"/>
      <charset val="134"/>
    </font>
    <font>
      <sz val="8"/>
      <name val="Calibri"/>
      <charset val="134"/>
    </font>
    <font>
      <sz val="11"/>
      <color rgb="FF000000"/>
      <name val="Calibri"/>
      <charset val="134"/>
    </font>
    <font>
      <sz val="9"/>
      <color rgb="FF000000"/>
      <name val="Calibri"/>
      <charset val="134"/>
    </font>
    <font>
      <b/>
      <sz val="8"/>
      <name val="Calibri"/>
      <charset val="134"/>
    </font>
    <font>
      <b/>
      <sz val="9"/>
      <color rgb="FF000000"/>
      <name val="Calibri"/>
      <charset val="134"/>
    </font>
    <font>
      <sz val="6"/>
      <name val="Calibri"/>
      <charset val="134"/>
    </font>
    <font>
      <b/>
      <sz val="6"/>
      <name val="Calibri"/>
      <charset val="134"/>
    </font>
    <font>
      <sz val="6"/>
      <color rgb="FF000000"/>
      <name val="Calibri"/>
      <charset val="134"/>
    </font>
    <font>
      <b/>
      <sz val="6"/>
      <color rgb="FF000000"/>
      <name val="Calibri"/>
      <charset val="134"/>
    </font>
    <font>
      <b/>
      <sz val="10"/>
      <color rgb="FFFFFFFF"/>
      <name val="Calibri"/>
      <charset val="134"/>
    </font>
    <font>
      <sz val="9"/>
      <color rgb="FF212934"/>
      <name val="Calibri"/>
      <charset val="134"/>
    </font>
    <font>
      <b/>
      <sz val="11"/>
      <color rgb="FF000000"/>
      <name val="Calibri"/>
      <charset val="134"/>
    </font>
    <font>
      <sz val="9"/>
      <name val="Calibri"/>
      <charset val="134"/>
    </font>
    <font>
      <sz val="6"/>
      <color rgb="FFFF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757070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D8D8D8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F7D5EC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/>
      <top style="thin">
        <color rgb="FFF2F2F2"/>
      </top>
      <bottom style="thin">
        <color rgb="FFF2F2F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23" borderId="2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9" applyNumberFormat="0" applyFill="0" applyAlignment="0" applyProtection="0">
      <alignment vertical="center"/>
    </xf>
    <xf numFmtId="0" fontId="22" fillId="0" borderId="29" applyNumberFormat="0" applyFill="0" applyAlignment="0" applyProtection="0">
      <alignment vertical="center"/>
    </xf>
    <xf numFmtId="0" fontId="23" fillId="0" borderId="3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24" borderId="31" applyNumberFormat="0" applyAlignment="0" applyProtection="0">
      <alignment vertical="center"/>
    </xf>
    <xf numFmtId="0" fontId="25" fillId="25" borderId="32" applyNumberFormat="0" applyAlignment="0" applyProtection="0">
      <alignment vertical="center"/>
    </xf>
    <xf numFmtId="0" fontId="26" fillId="25" borderId="31" applyNumberFormat="0" applyAlignment="0" applyProtection="0">
      <alignment vertical="center"/>
    </xf>
    <xf numFmtId="0" fontId="27" fillId="26" borderId="33" applyNumberFormat="0" applyAlignment="0" applyProtection="0">
      <alignment vertical="center"/>
    </xf>
    <xf numFmtId="0" fontId="28" fillId="0" borderId="34" applyNumberFormat="0" applyFill="0" applyAlignment="0" applyProtection="0">
      <alignment vertical="center"/>
    </xf>
    <xf numFmtId="0" fontId="29" fillId="0" borderId="35" applyNumberFormat="0" applyFill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4" fillId="47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2" fillId="0" borderId="0">
      <protection locked="0"/>
    </xf>
  </cellStyleXfs>
  <cellXfs count="87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/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/>
    <xf numFmtId="0" fontId="5" fillId="3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1" fillId="2" borderId="0" xfId="0" applyFont="1" applyFill="1" applyAlignment="1"/>
    <xf numFmtId="0" fontId="10" fillId="6" borderId="2" xfId="0" applyFont="1" applyFill="1" applyBorder="1">
      <alignment vertical="center"/>
    </xf>
    <xf numFmtId="3" fontId="10" fillId="7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left" vertical="center" indent="1"/>
    </xf>
    <xf numFmtId="3" fontId="11" fillId="9" borderId="3" xfId="49" applyNumberFormat="1" applyFont="1" applyFill="1" applyBorder="1" applyAlignment="1" applyProtection="1">
      <alignment horizontal="center" vertical="center"/>
    </xf>
    <xf numFmtId="3" fontId="11" fillId="9" borderId="4" xfId="49" applyNumberFormat="1" applyFont="1" applyFill="1" applyBorder="1" applyAlignment="1" applyProtection="1">
      <alignment horizontal="center" vertical="center"/>
    </xf>
    <xf numFmtId="3" fontId="11" fillId="9" borderId="2" xfId="49" applyNumberFormat="1" applyFont="1" applyFill="1" applyBorder="1" applyAlignment="1" applyProtection="1">
      <alignment horizontal="center" vertical="center"/>
    </xf>
    <xf numFmtId="0" fontId="3" fillId="10" borderId="3" xfId="49" applyFont="1" applyFill="1" applyBorder="1" applyAlignment="1" applyProtection="1">
      <alignment horizontal="center" vertical="center" wrapText="1" readingOrder="1"/>
    </xf>
    <xf numFmtId="0" fontId="3" fillId="10" borderId="4" xfId="49" applyFont="1" applyFill="1" applyBorder="1" applyAlignment="1" applyProtection="1">
      <alignment horizontal="center" vertical="center" wrapText="1" readingOrder="1"/>
    </xf>
    <xf numFmtId="0" fontId="11" fillId="10" borderId="3" xfId="49" applyFont="1" applyFill="1" applyBorder="1" applyAlignment="1" applyProtection="1">
      <alignment horizontal="center" vertical="center" wrapText="1" readingOrder="1"/>
    </xf>
    <xf numFmtId="0" fontId="11" fillId="10" borderId="4" xfId="49" applyFont="1" applyFill="1" applyBorder="1" applyAlignment="1" applyProtection="1">
      <alignment horizontal="center" vertical="center" wrapText="1" readingOrder="1"/>
    </xf>
    <xf numFmtId="0" fontId="11" fillId="9" borderId="3" xfId="49" applyFont="1" applyFill="1" applyBorder="1" applyAlignment="1" applyProtection="1">
      <alignment horizontal="center" vertical="center" wrapText="1"/>
    </xf>
    <xf numFmtId="0" fontId="11" fillId="9" borderId="4" xfId="49" applyFont="1" applyFill="1" applyBorder="1" applyAlignment="1" applyProtection="1">
      <alignment horizontal="center" vertical="center" wrapText="1"/>
    </xf>
    <xf numFmtId="0" fontId="2" fillId="0" borderId="0" xfId="0" applyFont="1" applyAlignment="1"/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11" borderId="8" xfId="0" applyFont="1" applyFill="1" applyBorder="1" applyAlignment="1">
      <alignment horizontal="center"/>
    </xf>
    <xf numFmtId="0" fontId="12" fillId="11" borderId="9" xfId="0" applyFont="1" applyFill="1" applyBorder="1" applyAlignment="1">
      <alignment horizontal="center"/>
    </xf>
    <xf numFmtId="0" fontId="8" fillId="5" borderId="10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5" fillId="12" borderId="13" xfId="0" applyFont="1" applyFill="1" applyBorder="1" applyAlignment="1">
      <alignment horizontal="center" vertical="center" wrapText="1"/>
    </xf>
    <xf numFmtId="178" fontId="5" fillId="12" borderId="13" xfId="0" applyNumberFormat="1" applyFont="1" applyFill="1" applyBorder="1" applyAlignment="1">
      <alignment horizontal="center" vertical="center" wrapText="1"/>
    </xf>
    <xf numFmtId="3" fontId="11" fillId="9" borderId="14" xfId="49" applyNumberFormat="1" applyFont="1" applyFill="1" applyBorder="1" applyAlignment="1" applyProtection="1">
      <alignment horizontal="center" vertical="center"/>
    </xf>
    <xf numFmtId="0" fontId="12" fillId="11" borderId="15" xfId="0" applyFont="1" applyFill="1" applyBorder="1" applyAlignment="1">
      <alignment horizontal="center"/>
    </xf>
    <xf numFmtId="0" fontId="12" fillId="13" borderId="8" xfId="0" applyFont="1" applyFill="1" applyBorder="1" applyAlignment="1">
      <alignment horizontal="center"/>
    </xf>
    <xf numFmtId="0" fontId="12" fillId="13" borderId="9" xfId="0" applyFont="1" applyFill="1" applyBorder="1" applyAlignment="1">
      <alignment horizontal="center"/>
    </xf>
    <xf numFmtId="0" fontId="5" fillId="13" borderId="13" xfId="0" applyFont="1" applyFill="1" applyBorder="1" applyAlignment="1">
      <alignment horizontal="center" vertical="center" wrapText="1"/>
    </xf>
    <xf numFmtId="178" fontId="5" fillId="13" borderId="13" xfId="0" applyNumberFormat="1" applyFont="1" applyFill="1" applyBorder="1" applyAlignment="1">
      <alignment horizontal="center" vertical="center" wrapText="1"/>
    </xf>
    <xf numFmtId="0" fontId="12" fillId="13" borderId="15" xfId="0" applyFont="1" applyFill="1" applyBorder="1" applyAlignment="1">
      <alignment horizontal="center"/>
    </xf>
    <xf numFmtId="0" fontId="12" fillId="13" borderId="6" xfId="0" applyFont="1" applyFill="1" applyBorder="1" applyAlignment="1">
      <alignment horizontal="center"/>
    </xf>
    <xf numFmtId="0" fontId="12" fillId="14" borderId="16" xfId="0" applyFont="1" applyFill="1" applyBorder="1" applyAlignment="1">
      <alignment horizontal="center"/>
    </xf>
    <xf numFmtId="0" fontId="12" fillId="15" borderId="10" xfId="0" applyFont="1" applyFill="1" applyBorder="1" applyAlignment="1">
      <alignment horizontal="center"/>
    </xf>
    <xf numFmtId="0" fontId="11" fillId="9" borderId="2" xfId="49" applyFont="1" applyFill="1" applyBorder="1" applyAlignment="1" applyProtection="1">
      <alignment horizontal="center" vertical="center"/>
    </xf>
    <xf numFmtId="0" fontId="12" fillId="14" borderId="0" xfId="0" applyFont="1" applyFill="1" applyAlignment="1">
      <alignment horizontal="center"/>
    </xf>
    <xf numFmtId="0" fontId="12" fillId="16" borderId="5" xfId="0" applyFont="1" applyFill="1" applyBorder="1" applyAlignment="1">
      <alignment horizontal="center"/>
    </xf>
    <xf numFmtId="0" fontId="12" fillId="15" borderId="11" xfId="0" applyFont="1" applyFill="1" applyBorder="1" applyAlignment="1">
      <alignment horizontal="center"/>
    </xf>
    <xf numFmtId="0" fontId="12" fillId="17" borderId="17" xfId="0" applyFont="1" applyFill="1" applyBorder="1" applyAlignment="1">
      <alignment horizontal="center"/>
    </xf>
    <xf numFmtId="0" fontId="5" fillId="18" borderId="18" xfId="0" applyFont="1" applyFill="1" applyBorder="1" applyAlignment="1">
      <alignment horizontal="center" vertical="center" wrapText="1"/>
    </xf>
    <xf numFmtId="0" fontId="12" fillId="16" borderId="6" xfId="0" applyFont="1" applyFill="1" applyBorder="1" applyAlignment="1">
      <alignment horizontal="center"/>
    </xf>
    <xf numFmtId="0" fontId="12" fillId="17" borderId="19" xfId="0" applyFont="1" applyFill="1" applyBorder="1" applyAlignment="1">
      <alignment horizontal="center"/>
    </xf>
    <xf numFmtId="0" fontId="12" fillId="17" borderId="20" xfId="0" applyFont="1" applyFill="1" applyBorder="1" applyAlignment="1">
      <alignment horizontal="center"/>
    </xf>
    <xf numFmtId="0" fontId="12" fillId="17" borderId="21" xfId="0" applyFont="1" applyFill="1" applyBorder="1" applyAlignment="1">
      <alignment horizontal="center"/>
    </xf>
    <xf numFmtId="0" fontId="12" fillId="17" borderId="9" xfId="0" applyFont="1" applyFill="1" applyBorder="1" applyAlignment="1">
      <alignment horizontal="center"/>
    </xf>
    <xf numFmtId="0" fontId="5" fillId="18" borderId="22" xfId="0" applyFont="1" applyFill="1" applyBorder="1" applyAlignment="1">
      <alignment horizontal="center" vertical="center" wrapText="1"/>
    </xf>
    <xf numFmtId="0" fontId="9" fillId="18" borderId="23" xfId="0" applyFont="1" applyFill="1" applyBorder="1" applyAlignment="1">
      <alignment horizontal="center" vertical="center" wrapText="1"/>
    </xf>
    <xf numFmtId="0" fontId="5" fillId="18" borderId="15" xfId="0" applyFont="1" applyFill="1" applyBorder="1" applyAlignment="1">
      <alignment horizontal="center" vertical="center" wrapText="1"/>
    </xf>
    <xf numFmtId="0" fontId="5" fillId="18" borderId="13" xfId="0" applyFont="1" applyFill="1" applyBorder="1" applyAlignment="1">
      <alignment horizontal="center" vertical="center" wrapText="1"/>
    </xf>
    <xf numFmtId="3" fontId="13" fillId="9" borderId="2" xfId="49" applyNumberFormat="1" applyFont="1" applyFill="1" applyBorder="1" applyAlignment="1" applyProtection="1">
      <alignment horizontal="center" vertical="center"/>
    </xf>
    <xf numFmtId="0" fontId="12" fillId="16" borderId="7" xfId="0" applyFont="1" applyFill="1" applyBorder="1" applyAlignment="1">
      <alignment horizontal="center"/>
    </xf>
    <xf numFmtId="0" fontId="5" fillId="18" borderId="8" xfId="0" applyFont="1" applyFill="1" applyBorder="1" applyAlignment="1">
      <alignment horizontal="center" vertical="center" wrapText="1"/>
    </xf>
    <xf numFmtId="0" fontId="12" fillId="15" borderId="17" xfId="0" applyFont="1" applyFill="1" applyBorder="1" applyAlignment="1">
      <alignment horizontal="center"/>
    </xf>
    <xf numFmtId="0" fontId="12" fillId="15" borderId="19" xfId="0" applyFont="1" applyFill="1" applyBorder="1" applyAlignment="1">
      <alignment horizontal="center"/>
    </xf>
    <xf numFmtId="0" fontId="12" fillId="15" borderId="20" xfId="0" applyFont="1" applyFill="1" applyBorder="1" applyAlignment="1">
      <alignment horizontal="center"/>
    </xf>
    <xf numFmtId="0" fontId="9" fillId="13" borderId="24" xfId="0" applyFont="1" applyFill="1" applyBorder="1" applyAlignment="1">
      <alignment horizontal="center" vertical="center" wrapText="1"/>
    </xf>
    <xf numFmtId="0" fontId="9" fillId="13" borderId="25" xfId="0" applyFont="1" applyFill="1" applyBorder="1" applyAlignment="1">
      <alignment horizontal="center" vertical="center" wrapText="1"/>
    </xf>
    <xf numFmtId="0" fontId="9" fillId="13" borderId="26" xfId="0" applyFont="1" applyFill="1" applyBorder="1" applyAlignment="1">
      <alignment horizontal="center" vertical="center" wrapText="1"/>
    </xf>
    <xf numFmtId="178" fontId="5" fillId="13" borderId="15" xfId="0" applyNumberFormat="1" applyFont="1" applyFill="1" applyBorder="1" applyAlignment="1">
      <alignment horizontal="center" vertical="center" wrapText="1"/>
    </xf>
    <xf numFmtId="0" fontId="11" fillId="9" borderId="3" xfId="49" applyNumberFormat="1" applyFont="1" applyFill="1" applyBorder="1" applyAlignment="1" applyProtection="1">
      <alignment horizontal="center" vertical="center"/>
    </xf>
    <xf numFmtId="0" fontId="12" fillId="14" borderId="1" xfId="0" applyFont="1" applyFill="1" applyBorder="1" applyAlignment="1">
      <alignment horizontal="center"/>
    </xf>
    <xf numFmtId="0" fontId="12" fillId="14" borderId="5" xfId="0" applyFont="1" applyFill="1" applyBorder="1" applyAlignment="1">
      <alignment horizontal="center"/>
    </xf>
    <xf numFmtId="0" fontId="12" fillId="14" borderId="6" xfId="0" applyFont="1" applyFill="1" applyBorder="1" applyAlignment="1">
      <alignment horizontal="center"/>
    </xf>
    <xf numFmtId="0" fontId="12" fillId="14" borderId="7" xfId="0" applyFont="1" applyFill="1" applyBorder="1" applyAlignment="1">
      <alignment horizontal="center"/>
    </xf>
    <xf numFmtId="0" fontId="12" fillId="15" borderId="12" xfId="0" applyFont="1" applyFill="1" applyBorder="1" applyAlignment="1">
      <alignment horizontal="center"/>
    </xf>
    <xf numFmtId="0" fontId="13" fillId="9" borderId="2" xfId="49" applyFont="1" applyFill="1" applyBorder="1" applyAlignment="1" applyProtection="1">
      <alignment horizontal="center" vertical="center"/>
    </xf>
    <xf numFmtId="0" fontId="2" fillId="19" borderId="0" xfId="0" applyFont="1" applyFill="1" applyAlignment="1">
      <alignment horizontal="center"/>
    </xf>
    <xf numFmtId="0" fontId="8" fillId="20" borderId="0" xfId="0" applyFont="1" applyFill="1" applyAlignment="1">
      <alignment horizontal="center" vertical="center" wrapText="1"/>
    </xf>
    <xf numFmtId="0" fontId="14" fillId="21" borderId="0" xfId="0" applyFont="1" applyFill="1" applyAlignment="1">
      <alignment horizontal="center" vertical="center" wrapText="1"/>
    </xf>
    <xf numFmtId="0" fontId="8" fillId="0" borderId="0" xfId="0" applyFont="1" applyAlignment="1"/>
    <xf numFmtId="3" fontId="11" fillId="10" borderId="2" xfId="0" applyNumberFormat="1" applyFont="1" applyFill="1" applyBorder="1" applyAlignment="1" applyProtection="1">
      <alignment horizontal="center" vertical="center"/>
      <protection locked="0"/>
    </xf>
    <xf numFmtId="3" fontId="1" fillId="0" borderId="0" xfId="0" applyNumberFormat="1" applyFont="1" applyAlignment="1"/>
    <xf numFmtId="0" fontId="5" fillId="22" borderId="27" xfId="0" applyFont="1" applyFill="1" applyBorder="1" applyAlignment="1">
      <alignment horizontal="center" vertical="center" wrapText="1" readingOrder="1"/>
    </xf>
  </cellXfs>
  <cellStyles count="50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Normal 56" xfId="49"/>
  </cellStyles>
  <dxfs count="37">
    <dxf>
      <fill>
        <patternFill patternType="solid">
          <bgColor rgb="FFFF7C80"/>
        </patternFill>
      </fill>
    </dxf>
    <dxf>
      <fill>
        <patternFill patternType="solid">
          <bgColor rgb="FFFFE598"/>
        </patternFill>
      </fill>
    </dxf>
    <dxf>
      <fill>
        <patternFill patternType="solid">
          <bgColor rgb="FFA8D08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5C9BD5"/>
        </top>
        <bottom/>
      </border>
    </dxf>
    <dxf>
      <font>
        <b val="1"/>
        <color rgb="FFFFFFFF"/>
      </font>
      <fill>
        <patternFill patternType="solid">
          <fgColor rgb="FF5C9BD5"/>
          <bgColor rgb="FF5C9BD5"/>
        </patternFill>
      </fill>
    </dxf>
    <dxf>
      <font>
        <color rgb="FF000000"/>
      </font>
      <border>
        <left style="thin">
          <color rgb="FF5C9BD5"/>
        </left>
        <right style="thin">
          <color rgb="FF5C9BD5"/>
        </right>
        <top style="thin">
          <color rgb="FF5C9BD5"/>
        </top>
        <bottom style="thin">
          <color rgb="FF5C9BD5"/>
        </bottom>
      </border>
    </dxf>
    <dxf>
      <fill>
        <patternFill patternType="solid">
          <fgColor rgb="FFDEEAF6"/>
          <bgColor rgb="FFDEEAF6"/>
        </patternFill>
      </fill>
      <border>
        <left/>
        <right/>
        <top/>
        <bottom style="thin">
          <color rgb="FF9DC3E5"/>
        </bottom>
      </border>
    </dxf>
    <dxf>
      <font>
        <b val="1"/>
      </font>
      <fill>
        <patternFill patternType="solid">
          <fgColor rgb="FFDEEAF6"/>
          <bgColor rgb="FFDEEAF6"/>
        </patternFill>
      </fill>
      <border>
        <left/>
        <right/>
        <top/>
        <bottom style="thin">
          <color rgb="FF9DC3E5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DC3E5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C9BD5"/>
        </top>
        <bottom style="thin">
          <color rgb="FF5C9BD5"/>
        </bottom>
      </border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ont>
        <b val="1"/>
        <color rgb="FF000000"/>
      </font>
      <fill>
        <patternFill patternType="solid">
          <fgColor rgb="FFDEEAF6"/>
          <bgColor rgb="FFDEEAF6"/>
        </patternFill>
      </fill>
      <border>
        <left/>
        <right/>
        <top style="thin">
          <color rgb="FF9DC3E5"/>
        </top>
        <bottom style="thin">
          <color rgb="FF9DC3E5"/>
        </bottom>
      </border>
    </dxf>
    <dxf>
      <font>
        <b val="1"/>
        <color rgb="FF000000"/>
      </font>
      <fill>
        <patternFill patternType="solid">
          <fgColor rgb="FFDEEAF6"/>
          <bgColor rgb="FFDEEAF6"/>
        </patternFill>
      </fill>
      <border>
        <left/>
        <right/>
        <top/>
        <bottom style="thin">
          <color rgb="FF9DC3E5"/>
        </bottom>
      </border>
    </dxf>
    <dxf>
      <fill>
        <patternFill patternType="solid">
          <fgColor rgb="FFD9E3F3"/>
          <bgColor rgb="FFD9E3F3"/>
        </patternFill>
      </fill>
    </dxf>
    <dxf>
      <fill>
        <patternFill patternType="solid">
          <fgColor rgb="FFD9E3F3"/>
          <bgColor rgb="FFD9E3F3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4473C4"/>
        </top>
        <bottom/>
      </border>
    </dxf>
    <dxf>
      <font>
        <b val="1"/>
        <color rgb="FFFFFFFF"/>
      </font>
      <fill>
        <patternFill patternType="solid">
          <fgColor rgb="FF4473C4"/>
          <bgColor rgb="FF4473C4"/>
        </patternFill>
      </fill>
    </dxf>
    <dxf>
      <font>
        <color rgb="FF000000"/>
      </font>
      <border>
        <left style="thin">
          <color rgb="FF4473C4"/>
        </left>
        <right style="thin">
          <color rgb="FF4473C4"/>
        </right>
        <top style="thin">
          <color rgb="FF4473C4"/>
        </top>
        <bottom style="thin">
          <color rgb="FF4473C4"/>
        </bottom>
      </border>
    </dxf>
    <dxf>
      <fill>
        <patternFill patternType="solid">
          <fgColor rgb="FFD9E3F3"/>
          <bgColor rgb="FFD9E3F3"/>
        </patternFill>
      </fill>
      <border>
        <left/>
        <right/>
        <top/>
        <bottom style="thin">
          <color rgb="FF8FABDB"/>
        </bottom>
      </border>
    </dxf>
    <dxf>
      <font>
        <b val="1"/>
      </font>
      <fill>
        <patternFill patternType="solid">
          <fgColor rgb="FFD9E3F3"/>
          <bgColor rgb="FFD9E3F3"/>
        </patternFill>
      </fill>
      <border>
        <left/>
        <right/>
        <top/>
        <bottom style="thin">
          <color rgb="FF8FABDB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8FABDB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473C4"/>
        </top>
        <bottom style="thin">
          <color rgb="FF4473C4"/>
        </bottom>
      </border>
    </dxf>
    <dxf>
      <fill>
        <patternFill patternType="solid">
          <fgColor rgb="FFD9E3F3"/>
          <bgColor rgb="FFD9E3F3"/>
        </patternFill>
      </fill>
    </dxf>
    <dxf>
      <fill>
        <patternFill patternType="solid">
          <fgColor rgb="FFD9E3F3"/>
          <bgColor rgb="FFD9E3F3"/>
        </patternFill>
      </fill>
    </dxf>
    <dxf>
      <font>
        <b val="1"/>
        <color rgb="FF000000"/>
      </font>
      <fill>
        <patternFill patternType="solid">
          <fgColor rgb="FFD9E3F3"/>
          <bgColor rgb="FFD9E3F3"/>
        </patternFill>
      </fill>
      <border>
        <left/>
        <right/>
        <top style="thin">
          <color rgb="FF8FABDB"/>
        </top>
        <bottom style="thin">
          <color rgb="FF8FABDB"/>
        </bottom>
      </border>
    </dxf>
    <dxf>
      <font>
        <b val="1"/>
        <color rgb="FF000000"/>
      </font>
      <fill>
        <patternFill patternType="solid">
          <fgColor rgb="FFD9E3F3"/>
          <bgColor rgb="FFD9E3F3"/>
        </patternFill>
      </fill>
      <border>
        <left/>
        <right/>
        <top/>
        <bottom style="thin">
          <color rgb="FF8FABDB"/>
        </bottom>
      </border>
    </dxf>
  </dxfs>
  <tableStyles count="5" defaultTableStyle="TableStyleMedium2" defaultPivotStyle="PivotStyleLight16">
    <tableStyle name="TableStylePreset3_Accent1 1" pivot="0" count="7" xr9:uid="{E2059726-D754-46C1-8879-09A443826D18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 1" table="0" count="10" xr9:uid="{21C72DAC-442B-45D3-9580-69AB178AEAAF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  <tableStyle name="Invisible" pivot="0" table="0" count="0" xr9:uid="{938C5E45-B06A-4941-BEC8-99855C45C483}"/>
    <tableStyle name="TableStylePreset3_Accent1 1 1" pivot="0" count="7" xr9:uid="{89CFC956-DE68-453F-BE70-5BBFD2F4F5A8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  <tableStyle name="PivotStylePreset2_Accent1 1 1" table="0" count="10" xr9:uid="{5DD9F86F-518F-4363-828B-F9554300FC70}">
      <tableStyleElement type="headerRow" dxfId="36"/>
      <tableStyleElement type="totalRow" dxfId="35"/>
      <tableStyleElement type="firstRowStripe" dxfId="34"/>
      <tableStyleElement type="firstColumnStripe" dxfId="33"/>
      <tableStyleElement type="firstSubtotalRow" dxfId="32"/>
      <tableStyleElement type="secondSubtotalRow" dxfId="31"/>
      <tableStyleElement type="firstRowSubheading" dxfId="30"/>
      <tableStyleElement type="secondRowSubheading" dxfId="29"/>
      <tableStyleElement type="pageFieldLabels" dxfId="28"/>
      <tableStyleElement type="pageFieldValues" dxfId="2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F43"/>
  <sheetViews>
    <sheetView tabSelected="1" topLeftCell="CI1" workbookViewId="0">
      <pane ySplit="3" topLeftCell="A26" activePane="bottomLeft" state="frozen"/>
      <selection/>
      <selection pane="bottomLeft" activeCell="DH30" sqref="DH30"/>
    </sheetView>
  </sheetViews>
  <sheetFormatPr defaultColWidth="10" defaultRowHeight="15"/>
  <cols>
    <col min="1" max="1" width="3.57142857142857" style="1" customWidth="1"/>
    <col min="2" max="2" width="6" style="1" customWidth="1"/>
    <col min="3" max="3" width="28" style="1" customWidth="1"/>
    <col min="4" max="4" width="9" style="1" customWidth="1"/>
    <col min="5" max="6" width="11.8571428571429" style="1" customWidth="1"/>
    <col min="7" max="7" width="9" style="1" customWidth="1"/>
    <col min="8" max="8" width="12" style="1" customWidth="1"/>
    <col min="9" max="11" width="9" style="1" customWidth="1"/>
    <col min="12" max="18" width="9" customWidth="1"/>
    <col min="19" max="19" width="10.2857142857143" customWidth="1"/>
    <col min="20" max="45" width="9" customWidth="1"/>
    <col min="46" max="46" width="9.85714285714286" customWidth="1"/>
    <col min="47" max="52" width="9" customWidth="1"/>
    <col min="53" max="53" width="12.7142857142857" customWidth="1"/>
    <col min="54" max="54" width="11.5714285714286" customWidth="1"/>
    <col min="55" max="55" width="12.5714285714286" customWidth="1"/>
    <col min="56" max="77" width="9" customWidth="1"/>
    <col min="78" max="78" width="10.2857142857143" customWidth="1"/>
    <col min="79" max="80" width="9" customWidth="1"/>
    <col min="81" max="81" width="10.2857142857143" customWidth="1"/>
    <col min="82" max="82" width="12.4285714285714" customWidth="1"/>
    <col min="83" max="83" width="9" customWidth="1"/>
    <col min="84" max="84" width="11.7142857142857" customWidth="1"/>
    <col min="85" max="96" width="9" customWidth="1"/>
    <col min="97" max="97" width="3.42857142857143" customWidth="1"/>
    <col min="98" max="98" width="12.1428571428571" style="1" customWidth="1"/>
    <col min="99" max="102" width="11.7142857142857" style="1" customWidth="1"/>
    <col min="103" max="103" width="2.42857142857143" style="1" customWidth="1"/>
    <col min="104" max="104" width="14.2857142857143" style="1" customWidth="1"/>
    <col min="105" max="105" width="14.2857142857143" style="2" customWidth="1"/>
    <col min="106" max="106" width="2.57142857142857" customWidth="1"/>
    <col min="107" max="107" width="11" customWidth="1"/>
    <col min="108" max="108" width="12.8571428571429" customWidth="1"/>
    <col min="109" max="109" width="11" customWidth="1"/>
    <col min="110" max="110" width="13" customWidth="1"/>
  </cols>
  <sheetData>
    <row r="1" ht="15.75" spans="1:104">
      <c r="A1"/>
      <c r="B1"/>
      <c r="C1"/>
      <c r="D1"/>
      <c r="E1"/>
      <c r="F1"/>
      <c r="G1" s="3"/>
      <c r="H1" s="3"/>
      <c r="I1" s="3"/>
      <c r="J1" s="3"/>
      <c r="K1" s="3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46" t="s">
        <v>0</v>
      </c>
      <c r="BE1" s="49"/>
      <c r="BF1" s="49"/>
      <c r="BG1" s="49"/>
      <c r="BH1" s="49"/>
      <c r="BI1" s="49"/>
      <c r="BJ1" s="49"/>
      <c r="BK1" s="49"/>
      <c r="BL1" s="50" t="s">
        <v>1</v>
      </c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64"/>
      <c r="CC1" s="46" t="s">
        <v>2</v>
      </c>
      <c r="CD1" s="49"/>
      <c r="CE1" s="49"/>
      <c r="CF1" s="49"/>
      <c r="CG1" s="49"/>
      <c r="CH1" s="49"/>
      <c r="CI1" s="49"/>
      <c r="CJ1" s="49"/>
      <c r="CK1" s="49"/>
      <c r="CL1" s="74"/>
      <c r="CM1" s="75" t="s">
        <v>3</v>
      </c>
      <c r="CN1" s="76"/>
      <c r="CO1" s="76"/>
      <c r="CP1" s="76"/>
      <c r="CQ1" s="76"/>
      <c r="CR1" s="77"/>
      <c r="CT1"/>
      <c r="CU1"/>
      <c r="CV1"/>
      <c r="CW1"/>
      <c r="CX1"/>
      <c r="CY1"/>
      <c r="CZ1"/>
    </row>
    <row r="2" ht="20.25" customHeight="1" spans="1:110">
      <c r="A2" s="4"/>
      <c r="B2" s="4"/>
      <c r="C2" s="5"/>
      <c r="D2" s="3"/>
      <c r="E2" s="6"/>
      <c r="F2" s="6"/>
      <c r="G2" s="7"/>
      <c r="H2" s="8"/>
      <c r="I2" s="28" t="s">
        <v>4</v>
      </c>
      <c r="J2" s="29"/>
      <c r="K2" s="30"/>
      <c r="L2" s="31" t="s">
        <v>5</v>
      </c>
      <c r="M2" s="32"/>
      <c r="N2" s="32"/>
      <c r="O2" s="32"/>
      <c r="P2" s="32"/>
      <c r="Q2" s="32"/>
      <c r="R2" s="32"/>
      <c r="S2" s="39"/>
      <c r="T2" s="40" t="s">
        <v>6</v>
      </c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4"/>
      <c r="AH2" s="45"/>
      <c r="AI2" s="45"/>
      <c r="AJ2" s="40" t="s">
        <v>6</v>
      </c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7" t="s">
        <v>7</v>
      </c>
      <c r="BE2" s="51"/>
      <c r="BF2" s="51"/>
      <c r="BG2" s="51"/>
      <c r="BH2" s="51"/>
      <c r="BI2" s="51"/>
      <c r="BJ2" s="51"/>
      <c r="BK2" s="51"/>
      <c r="BL2" s="52" t="s">
        <v>8</v>
      </c>
      <c r="BM2" s="55"/>
      <c r="BN2" s="55"/>
      <c r="BO2" s="56"/>
      <c r="BP2" s="57" t="s">
        <v>7</v>
      </c>
      <c r="BQ2" s="58"/>
      <c r="BR2" s="58"/>
      <c r="BS2" s="58"/>
      <c r="BT2" s="58"/>
      <c r="BU2" s="58"/>
      <c r="BV2" s="58"/>
      <c r="BW2" s="58"/>
      <c r="BX2" s="58"/>
      <c r="BY2" s="58"/>
      <c r="BZ2" s="58"/>
      <c r="CA2" s="58"/>
      <c r="CB2" s="58"/>
      <c r="CC2" s="66" t="s">
        <v>9</v>
      </c>
      <c r="CD2" s="67"/>
      <c r="CE2" s="67"/>
      <c r="CF2" s="68"/>
      <c r="CG2" s="51" t="s">
        <v>7</v>
      </c>
      <c r="CH2" s="51"/>
      <c r="CI2" s="51"/>
      <c r="CJ2" s="51"/>
      <c r="CK2" s="51"/>
      <c r="CL2" s="78"/>
      <c r="CM2" s="47" t="s">
        <v>7</v>
      </c>
      <c r="CN2" s="51"/>
      <c r="CO2" s="51"/>
      <c r="CP2" s="51"/>
      <c r="CQ2" s="51"/>
      <c r="CR2" s="78"/>
      <c r="CT2" s="80" t="s">
        <v>10</v>
      </c>
      <c r="CU2" s="80"/>
      <c r="CV2" s="80"/>
      <c r="CW2" s="80"/>
      <c r="CX2" s="80"/>
      <c r="CY2" s="80"/>
      <c r="CZ2" s="80"/>
      <c r="DA2" s="80"/>
      <c r="DB2" s="80"/>
      <c r="DC2" s="80"/>
      <c r="DD2" s="80"/>
      <c r="DE2" s="80"/>
      <c r="DF2" s="80"/>
    </row>
    <row r="3" ht="45" customHeight="1" spans="1:110">
      <c r="A3" s="9"/>
      <c r="B3" s="9"/>
      <c r="C3" s="10"/>
      <c r="D3" s="11" t="s">
        <v>11</v>
      </c>
      <c r="E3" s="12" t="s">
        <v>12</v>
      </c>
      <c r="F3" s="12" t="s">
        <v>13</v>
      </c>
      <c r="G3" s="13" t="s">
        <v>14</v>
      </c>
      <c r="H3" s="13" t="s">
        <v>15</v>
      </c>
      <c r="I3" s="33" t="s">
        <v>16</v>
      </c>
      <c r="J3" s="34" t="s">
        <v>17</v>
      </c>
      <c r="K3" s="35" t="s">
        <v>18</v>
      </c>
      <c r="L3" s="36" t="s">
        <v>19</v>
      </c>
      <c r="M3" s="36" t="s">
        <v>20</v>
      </c>
      <c r="N3" s="37" t="s">
        <v>21</v>
      </c>
      <c r="O3" s="36" t="s">
        <v>22</v>
      </c>
      <c r="P3" s="36" t="s">
        <v>23</v>
      </c>
      <c r="Q3" s="36" t="s">
        <v>24</v>
      </c>
      <c r="R3" s="36" t="s">
        <v>25</v>
      </c>
      <c r="S3" s="36" t="s">
        <v>26</v>
      </c>
      <c r="T3" s="42" t="s">
        <v>27</v>
      </c>
      <c r="U3" s="42" t="s">
        <v>28</v>
      </c>
      <c r="V3" s="43" t="s">
        <v>29</v>
      </c>
      <c r="W3" s="43" t="s">
        <v>30</v>
      </c>
      <c r="X3" s="43" t="s">
        <v>31</v>
      </c>
      <c r="Y3" s="43" t="s">
        <v>32</v>
      </c>
      <c r="Z3" s="43" t="s">
        <v>33</v>
      </c>
      <c r="AA3" s="43" t="s">
        <v>34</v>
      </c>
      <c r="AB3" s="42" t="s">
        <v>35</v>
      </c>
      <c r="AC3" s="42" t="s">
        <v>36</v>
      </c>
      <c r="AD3" s="42" t="s">
        <v>37</v>
      </c>
      <c r="AE3" s="42" t="s">
        <v>38</v>
      </c>
      <c r="AF3" s="43" t="s">
        <v>39</v>
      </c>
      <c r="AG3" s="43" t="s">
        <v>40</v>
      </c>
      <c r="AH3" s="43" t="s">
        <v>41</v>
      </c>
      <c r="AI3" s="43" t="s">
        <v>42</v>
      </c>
      <c r="AJ3" s="42" t="s">
        <v>43</v>
      </c>
      <c r="AK3" s="42" t="s">
        <v>44</v>
      </c>
      <c r="AL3" s="42" t="s">
        <v>45</v>
      </c>
      <c r="AM3" s="42" t="s">
        <v>46</v>
      </c>
      <c r="AN3" s="42" t="s">
        <v>47</v>
      </c>
      <c r="AO3" s="42" t="s">
        <v>48</v>
      </c>
      <c r="AP3" s="42" t="s">
        <v>49</v>
      </c>
      <c r="AQ3" s="42" t="s">
        <v>50</v>
      </c>
      <c r="AR3" s="42" t="s">
        <v>51</v>
      </c>
      <c r="AS3" s="42" t="s">
        <v>52</v>
      </c>
      <c r="AT3" s="42" t="s">
        <v>53</v>
      </c>
      <c r="AU3" s="42" t="s">
        <v>54</v>
      </c>
      <c r="AV3" s="42" t="s">
        <v>55</v>
      </c>
      <c r="AW3" s="42" t="s">
        <v>56</v>
      </c>
      <c r="AX3" s="42" t="s">
        <v>57</v>
      </c>
      <c r="AY3" s="42" t="s">
        <v>58</v>
      </c>
      <c r="AZ3" s="42" t="s">
        <v>59</v>
      </c>
      <c r="BA3" s="42" t="s">
        <v>60</v>
      </c>
      <c r="BB3" s="42" t="s">
        <v>61</v>
      </c>
      <c r="BC3" s="42" t="s">
        <v>62</v>
      </c>
      <c r="BD3" s="36" t="s">
        <v>63</v>
      </c>
      <c r="BE3" s="36" t="s">
        <v>28</v>
      </c>
      <c r="BF3" s="37" t="s">
        <v>64</v>
      </c>
      <c r="BG3" s="37" t="s">
        <v>65</v>
      </c>
      <c r="BH3" s="36" t="s">
        <v>66</v>
      </c>
      <c r="BI3" s="36" t="s">
        <v>67</v>
      </c>
      <c r="BJ3" s="36" t="s">
        <v>68</v>
      </c>
      <c r="BK3" s="36" t="s">
        <v>69</v>
      </c>
      <c r="BL3" s="53" t="s">
        <v>70</v>
      </c>
      <c r="BM3" s="53" t="s">
        <v>71</v>
      </c>
      <c r="BN3" s="59" t="s">
        <v>72</v>
      </c>
      <c r="BO3" s="60" t="s">
        <v>73</v>
      </c>
      <c r="BP3" s="61" t="s">
        <v>74</v>
      </c>
      <c r="BQ3" s="61" t="s">
        <v>75</v>
      </c>
      <c r="BR3" s="61" t="s">
        <v>76</v>
      </c>
      <c r="BS3" s="62" t="s">
        <v>77</v>
      </c>
      <c r="BT3" s="62" t="s">
        <v>78</v>
      </c>
      <c r="BU3" s="62" t="s">
        <v>79</v>
      </c>
      <c r="BV3" s="62" t="s">
        <v>80</v>
      </c>
      <c r="BW3" s="62" t="s">
        <v>81</v>
      </c>
      <c r="BX3" s="62" t="s">
        <v>82</v>
      </c>
      <c r="BY3" s="62" t="s">
        <v>83</v>
      </c>
      <c r="BZ3" s="62" t="s">
        <v>84</v>
      </c>
      <c r="CA3" s="62" t="s">
        <v>85</v>
      </c>
      <c r="CB3" s="65" t="s">
        <v>86</v>
      </c>
      <c r="CC3" s="69" t="s">
        <v>87</v>
      </c>
      <c r="CD3" s="70" t="s">
        <v>88</v>
      </c>
      <c r="CE3" s="70" t="s">
        <v>89</v>
      </c>
      <c r="CF3" s="71" t="s">
        <v>90</v>
      </c>
      <c r="CG3" s="72" t="s">
        <v>64</v>
      </c>
      <c r="CH3" s="43" t="s">
        <v>91</v>
      </c>
      <c r="CI3" s="42" t="s">
        <v>66</v>
      </c>
      <c r="CJ3" s="42" t="s">
        <v>67</v>
      </c>
      <c r="CK3" s="42" t="s">
        <v>68</v>
      </c>
      <c r="CL3" s="42" t="s">
        <v>69</v>
      </c>
      <c r="CM3" s="37" t="s">
        <v>64</v>
      </c>
      <c r="CN3" s="37" t="s">
        <v>92</v>
      </c>
      <c r="CO3" s="36" t="s">
        <v>66</v>
      </c>
      <c r="CP3" s="36" t="s">
        <v>67</v>
      </c>
      <c r="CQ3" s="36" t="s">
        <v>68</v>
      </c>
      <c r="CR3" s="36" t="s">
        <v>69</v>
      </c>
      <c r="CT3" s="81" t="s">
        <v>93</v>
      </c>
      <c r="CU3" s="82" t="s">
        <v>94</v>
      </c>
      <c r="CV3" s="82" t="s">
        <v>95</v>
      </c>
      <c r="CW3" s="82" t="s">
        <v>96</v>
      </c>
      <c r="CX3" s="82" t="s">
        <v>7</v>
      </c>
      <c r="CY3" s="83"/>
      <c r="CZ3" s="82" t="s">
        <v>97</v>
      </c>
      <c r="DA3" s="82" t="s">
        <v>98</v>
      </c>
      <c r="DC3" s="86" t="s">
        <v>99</v>
      </c>
      <c r="DD3" s="86" t="s">
        <v>100</v>
      </c>
      <c r="DE3" s="86" t="s">
        <v>101</v>
      </c>
      <c r="DF3" s="86" t="s">
        <v>3</v>
      </c>
    </row>
    <row r="4" spans="1:110">
      <c r="A4" s="14" t="s">
        <v>102</v>
      </c>
      <c r="B4" s="1">
        <v>30000</v>
      </c>
      <c r="C4" s="15" t="s">
        <v>103</v>
      </c>
      <c r="D4" s="16">
        <f>SUM(D5:D35)</f>
        <v>11</v>
      </c>
      <c r="E4" s="16">
        <f>SUM(E5:E35)</f>
        <v>16</v>
      </c>
      <c r="F4" s="16">
        <f>SUM(F5:F35)</f>
        <v>16</v>
      </c>
      <c r="G4" s="16">
        <f t="shared" ref="G4:CE4" si="0">SUM(G5:G35)</f>
        <v>1</v>
      </c>
      <c r="H4" s="16">
        <f t="shared" si="0"/>
        <v>1</v>
      </c>
      <c r="I4" s="16">
        <f t="shared" si="0"/>
        <v>0</v>
      </c>
      <c r="J4" s="16">
        <f t="shared" si="0"/>
        <v>0</v>
      </c>
      <c r="K4" s="16">
        <f t="shared" si="0"/>
        <v>0</v>
      </c>
      <c r="L4" s="16">
        <f t="shared" si="0"/>
        <v>44</v>
      </c>
      <c r="M4" s="16">
        <f t="shared" si="0"/>
        <v>24</v>
      </c>
      <c r="N4" s="16">
        <f t="shared" si="0"/>
        <v>17</v>
      </c>
      <c r="O4" s="16">
        <f t="shared" si="0"/>
        <v>5</v>
      </c>
      <c r="P4" s="16">
        <f t="shared" si="0"/>
        <v>1</v>
      </c>
      <c r="Q4" s="16">
        <f t="shared" si="0"/>
        <v>3</v>
      </c>
      <c r="R4" s="16">
        <f t="shared" si="0"/>
        <v>71</v>
      </c>
      <c r="S4" s="16">
        <f t="shared" si="0"/>
        <v>36</v>
      </c>
      <c r="T4" s="16">
        <f t="shared" si="0"/>
        <v>11</v>
      </c>
      <c r="U4" s="16">
        <f t="shared" si="0"/>
        <v>0</v>
      </c>
      <c r="V4" s="16">
        <f t="shared" si="0"/>
        <v>14</v>
      </c>
      <c r="W4" s="16">
        <f t="shared" si="0"/>
        <v>10</v>
      </c>
      <c r="X4" s="16">
        <f t="shared" si="0"/>
        <v>12</v>
      </c>
      <c r="Y4" s="16">
        <f t="shared" si="0"/>
        <v>1</v>
      </c>
      <c r="Z4" s="16">
        <f t="shared" si="0"/>
        <v>2</v>
      </c>
      <c r="AA4" s="16">
        <f t="shared" si="0"/>
        <v>4</v>
      </c>
      <c r="AB4" s="16">
        <f t="shared" si="0"/>
        <v>8</v>
      </c>
      <c r="AC4" s="16">
        <f t="shared" si="0"/>
        <v>8</v>
      </c>
      <c r="AD4" s="16">
        <f t="shared" si="0"/>
        <v>4</v>
      </c>
      <c r="AE4" s="16">
        <f t="shared" si="0"/>
        <v>0</v>
      </c>
      <c r="AF4" s="16">
        <f t="shared" si="0"/>
        <v>0</v>
      </c>
      <c r="AG4" s="16">
        <f t="shared" si="0"/>
        <v>0</v>
      </c>
      <c r="AH4" s="16">
        <f t="shared" si="0"/>
        <v>0</v>
      </c>
      <c r="AI4" s="16">
        <f t="shared" si="0"/>
        <v>0</v>
      </c>
      <c r="AJ4" s="16">
        <f t="shared" si="0"/>
        <v>5</v>
      </c>
      <c r="AK4" s="16">
        <f t="shared" si="0"/>
        <v>5</v>
      </c>
      <c r="AL4" s="16">
        <f t="shared" si="0"/>
        <v>1</v>
      </c>
      <c r="AM4" s="16">
        <f t="shared" si="0"/>
        <v>4</v>
      </c>
      <c r="AN4" s="16">
        <f t="shared" si="0"/>
        <v>6</v>
      </c>
      <c r="AO4" s="16">
        <f t="shared" si="0"/>
        <v>9</v>
      </c>
      <c r="AP4" s="16">
        <f t="shared" si="0"/>
        <v>5</v>
      </c>
      <c r="AQ4" s="16">
        <f t="shared" si="0"/>
        <v>3</v>
      </c>
      <c r="AR4" s="16">
        <f t="shared" si="0"/>
        <v>3</v>
      </c>
      <c r="AS4" s="16">
        <f t="shared" si="0"/>
        <v>5</v>
      </c>
      <c r="AT4" s="16">
        <f t="shared" si="0"/>
        <v>11</v>
      </c>
      <c r="AU4" s="16">
        <f t="shared" si="0"/>
        <v>0</v>
      </c>
      <c r="AV4" s="16">
        <f t="shared" si="0"/>
        <v>0</v>
      </c>
      <c r="AW4" s="16">
        <f t="shared" si="0"/>
        <v>3</v>
      </c>
      <c r="AX4" s="16">
        <f t="shared" si="0"/>
        <v>61</v>
      </c>
      <c r="AY4" s="16">
        <f t="shared" si="0"/>
        <v>36</v>
      </c>
      <c r="AZ4" s="16">
        <f t="shared" ref="AZ4:BB4" si="1">SUM(AZ5:AZ35)</f>
        <v>0</v>
      </c>
      <c r="BA4" s="16">
        <f t="shared" si="1"/>
        <v>0</v>
      </c>
      <c r="BB4" s="16">
        <f t="shared" si="1"/>
        <v>0</v>
      </c>
      <c r="BC4" s="16">
        <f t="shared" si="0"/>
        <v>0</v>
      </c>
      <c r="BD4" s="16">
        <f t="shared" si="0"/>
        <v>11</v>
      </c>
      <c r="BE4" s="16">
        <f t="shared" si="0"/>
        <v>0</v>
      </c>
      <c r="BF4" s="16">
        <f t="shared" si="0"/>
        <v>62</v>
      </c>
      <c r="BG4" s="16">
        <f t="shared" si="0"/>
        <v>0</v>
      </c>
      <c r="BH4" s="16">
        <f t="shared" si="0"/>
        <v>14</v>
      </c>
      <c r="BI4" s="16">
        <f t="shared" si="0"/>
        <v>22</v>
      </c>
      <c r="BJ4" s="16">
        <f t="shared" si="0"/>
        <v>16</v>
      </c>
      <c r="BK4" s="16">
        <f t="shared" si="0"/>
        <v>95</v>
      </c>
      <c r="BL4" s="16">
        <f t="shared" si="0"/>
        <v>1</v>
      </c>
      <c r="BM4" s="16">
        <f t="shared" si="0"/>
        <v>0</v>
      </c>
      <c r="BN4" s="16">
        <f t="shared" si="0"/>
        <v>0</v>
      </c>
      <c r="BO4" s="16">
        <f t="shared" si="0"/>
        <v>0</v>
      </c>
      <c r="BP4" s="16">
        <f t="shared" si="0"/>
        <v>0</v>
      </c>
      <c r="BQ4" s="16">
        <f t="shared" si="0"/>
        <v>1</v>
      </c>
      <c r="BR4" s="16">
        <f t="shared" si="0"/>
        <v>0</v>
      </c>
      <c r="BS4" s="16">
        <f t="shared" si="0"/>
        <v>0</v>
      </c>
      <c r="BT4" s="16">
        <f t="shared" si="0"/>
        <v>1</v>
      </c>
      <c r="BU4" s="16">
        <f t="shared" si="0"/>
        <v>1</v>
      </c>
      <c r="BV4" s="16">
        <f t="shared" si="0"/>
        <v>0</v>
      </c>
      <c r="BW4" s="16">
        <f t="shared" si="0"/>
        <v>2</v>
      </c>
      <c r="BX4" s="16">
        <f t="shared" si="0"/>
        <v>1</v>
      </c>
      <c r="BY4" s="16">
        <f t="shared" si="0"/>
        <v>0</v>
      </c>
      <c r="BZ4" s="16">
        <f t="shared" si="0"/>
        <v>0</v>
      </c>
      <c r="CA4" s="16">
        <f t="shared" si="0"/>
        <v>0</v>
      </c>
      <c r="CB4" s="16">
        <f t="shared" si="0"/>
        <v>2</v>
      </c>
      <c r="CC4" s="16">
        <f>SUM(CC5:CC35)</f>
        <v>0</v>
      </c>
      <c r="CD4" s="16">
        <f t="shared" si="0"/>
        <v>0</v>
      </c>
      <c r="CE4" s="16">
        <f t="shared" si="0"/>
        <v>0</v>
      </c>
      <c r="CF4" s="16">
        <f>SUM(CF5:CF35)</f>
        <v>0</v>
      </c>
      <c r="CG4" s="16">
        <f t="shared" ref="CG4:CR4" si="2">SUM(CG5:CG35)</f>
        <v>0</v>
      </c>
      <c r="CH4" s="16">
        <f t="shared" si="2"/>
        <v>0</v>
      </c>
      <c r="CI4" s="16">
        <f t="shared" si="2"/>
        <v>0</v>
      </c>
      <c r="CJ4" s="16">
        <f t="shared" si="2"/>
        <v>0</v>
      </c>
      <c r="CK4" s="16">
        <f t="shared" si="2"/>
        <v>0</v>
      </c>
      <c r="CL4" s="16">
        <f t="shared" si="2"/>
        <v>0</v>
      </c>
      <c r="CM4" s="16">
        <f t="shared" si="2"/>
        <v>0</v>
      </c>
      <c r="CN4" s="16">
        <f t="shared" si="2"/>
        <v>0</v>
      </c>
      <c r="CO4" s="16">
        <f t="shared" si="2"/>
        <v>0</v>
      </c>
      <c r="CP4" s="16">
        <f t="shared" si="2"/>
        <v>0</v>
      </c>
      <c r="CQ4" s="16">
        <f t="shared" si="2"/>
        <v>0</v>
      </c>
      <c r="CR4" s="16">
        <f t="shared" si="2"/>
        <v>3</v>
      </c>
      <c r="CT4" s="16">
        <f>SUM(CT5:CT35)</f>
        <v>201</v>
      </c>
      <c r="CU4" s="16">
        <f>SUM(CU5:CU35)</f>
        <v>129</v>
      </c>
      <c r="CV4" s="16">
        <f>SUM(CV5:CV35)</f>
        <v>30</v>
      </c>
      <c r="CW4" s="16">
        <f>SUM(CW5:CW35)</f>
        <v>72</v>
      </c>
      <c r="CX4" s="16">
        <f>SUM(CU4:CW4)</f>
        <v>231</v>
      </c>
      <c r="CZ4" s="16">
        <f>SUM(CZ5:CZ35)</f>
        <v>1</v>
      </c>
      <c r="DA4" s="16">
        <f t="shared" ref="DA4:DA35" si="3">IFERROR(CX4/E4,0)</f>
        <v>14.4375</v>
      </c>
      <c r="DC4" s="16">
        <f>SUM(BO4:CA4)</f>
        <v>6</v>
      </c>
      <c r="DD4" s="16">
        <f>SUM(BP4:CB4)</f>
        <v>8</v>
      </c>
      <c r="DE4" s="16">
        <f t="shared" ref="DE4:DE35" si="4">SUM(CG4:CL4)</f>
        <v>0</v>
      </c>
      <c r="DF4" s="16">
        <f>SUM(CM4:CR4)</f>
        <v>3</v>
      </c>
    </row>
    <row r="5" spans="1:110">
      <c r="A5" s="1" t="s">
        <v>104</v>
      </c>
      <c r="B5" s="1">
        <v>301</v>
      </c>
      <c r="C5" s="17" t="s">
        <v>105</v>
      </c>
      <c r="D5" s="18"/>
      <c r="E5" s="18"/>
      <c r="F5" s="19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T5" s="84">
        <f t="shared" ref="CT5:CT35" si="5">SUM(L5:S5)</f>
        <v>0</v>
      </c>
      <c r="CU5" s="84">
        <f t="shared" ref="CU5:CU35" si="6">SUM(T5,U5,V5,W5,X5,AB5,AD5,AF5,AG5,AJ5,AL5,AN5,AO5,AP5,AS5,AW5,AY5,BA5)</f>
        <v>0</v>
      </c>
      <c r="CV5" s="84">
        <f t="shared" ref="CV5:CV35" si="7">SUM(Y5,Z5,AA5,AC5,AE5,AH5,AI5,AK5,AM5,AQ5,AR5,AV5,AZ5)</f>
        <v>0</v>
      </c>
      <c r="CW5" s="84">
        <f t="shared" ref="CW5:CW35" si="8">SUM(AT5,AX5,BB5,BC5)</f>
        <v>0</v>
      </c>
      <c r="CX5" s="84">
        <f t="shared" ref="CX5:CX35" si="9">SUM(CU5:CW5)</f>
        <v>0</v>
      </c>
      <c r="CZ5" s="84">
        <f t="shared" ref="CZ5:CZ35" si="10">IF(CX5&gt;0,1,0)</f>
        <v>0</v>
      </c>
      <c r="DA5" s="84">
        <f t="shared" si="3"/>
        <v>0</v>
      </c>
      <c r="DC5" s="84">
        <f t="shared" ref="DC5:DC35" si="11">SUM(BD5:BK5)</f>
        <v>0</v>
      </c>
      <c r="DD5" s="84">
        <f t="shared" ref="DD5:DD35" si="12">SUM(BP5:CB5)</f>
        <v>0</v>
      </c>
      <c r="DE5" s="84">
        <f t="shared" si="4"/>
        <v>0</v>
      </c>
      <c r="DF5" s="84">
        <f t="shared" ref="DF5:DF35" si="13">SUM(CM5:CR5)</f>
        <v>0</v>
      </c>
    </row>
    <row r="6" spans="1:110">
      <c r="A6" s="1" t="s">
        <v>104</v>
      </c>
      <c r="B6" s="1">
        <v>302</v>
      </c>
      <c r="C6" s="17" t="s">
        <v>106</v>
      </c>
      <c r="D6" s="20"/>
      <c r="E6" s="20"/>
      <c r="F6" s="20"/>
      <c r="G6" s="20"/>
      <c r="H6" s="20"/>
      <c r="I6" s="20"/>
      <c r="J6" s="20"/>
      <c r="K6" s="20"/>
      <c r="L6" s="20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48"/>
      <c r="BD6" s="20"/>
      <c r="BE6" s="20"/>
      <c r="BF6" s="20"/>
      <c r="BG6" s="20"/>
      <c r="BH6" s="20"/>
      <c r="BI6" s="20"/>
      <c r="BJ6" s="20"/>
      <c r="BK6" s="20"/>
      <c r="BL6" s="20"/>
      <c r="BM6" s="63"/>
      <c r="BN6" s="63"/>
      <c r="BO6" s="63"/>
      <c r="BP6" s="20"/>
      <c r="BQ6" s="20"/>
      <c r="BR6" s="20"/>
      <c r="BS6" s="20"/>
      <c r="BT6" s="20"/>
      <c r="BU6" s="20"/>
      <c r="BV6" s="20"/>
      <c r="BW6" s="20"/>
      <c r="BX6" s="20"/>
      <c r="BY6" s="63"/>
      <c r="BZ6" s="63"/>
      <c r="CA6" s="63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63"/>
      <c r="CN6" s="79"/>
      <c r="CO6" s="63"/>
      <c r="CP6" s="63"/>
      <c r="CQ6" s="20"/>
      <c r="CR6" s="20"/>
      <c r="CT6" s="84">
        <f t="shared" si="5"/>
        <v>0</v>
      </c>
      <c r="CU6" s="84">
        <f t="shared" si="6"/>
        <v>0</v>
      </c>
      <c r="CV6" s="84">
        <f t="shared" si="7"/>
        <v>0</v>
      </c>
      <c r="CW6" s="84">
        <f t="shared" si="8"/>
        <v>0</v>
      </c>
      <c r="CX6" s="84">
        <f t="shared" si="9"/>
        <v>0</v>
      </c>
      <c r="CZ6" s="84">
        <f t="shared" si="10"/>
        <v>0</v>
      </c>
      <c r="DA6" s="84">
        <f t="shared" si="3"/>
        <v>0</v>
      </c>
      <c r="DC6" s="84">
        <f t="shared" si="11"/>
        <v>0</v>
      </c>
      <c r="DD6" s="84">
        <f t="shared" si="12"/>
        <v>0</v>
      </c>
      <c r="DE6" s="84">
        <f t="shared" si="4"/>
        <v>0</v>
      </c>
      <c r="DF6" s="84">
        <f t="shared" si="13"/>
        <v>0</v>
      </c>
    </row>
    <row r="7" spans="1:110">
      <c r="A7" s="1" t="s">
        <v>104</v>
      </c>
      <c r="B7" s="1">
        <v>303</v>
      </c>
      <c r="C7" s="17" t="s">
        <v>107</v>
      </c>
      <c r="D7" s="18"/>
      <c r="E7" s="18"/>
      <c r="F7" s="19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T7" s="84">
        <f t="shared" si="5"/>
        <v>0</v>
      </c>
      <c r="CU7" s="84">
        <f t="shared" si="6"/>
        <v>0</v>
      </c>
      <c r="CV7" s="84">
        <f t="shared" si="7"/>
        <v>0</v>
      </c>
      <c r="CW7" s="84">
        <f t="shared" si="8"/>
        <v>0</v>
      </c>
      <c r="CX7" s="84">
        <f t="shared" si="9"/>
        <v>0</v>
      </c>
      <c r="CZ7" s="84">
        <f t="shared" si="10"/>
        <v>0</v>
      </c>
      <c r="DA7" s="84">
        <f t="shared" si="3"/>
        <v>0</v>
      </c>
      <c r="DC7" s="84">
        <f t="shared" si="11"/>
        <v>0</v>
      </c>
      <c r="DD7" s="84">
        <f t="shared" si="12"/>
        <v>0</v>
      </c>
      <c r="DE7" s="84">
        <f t="shared" si="4"/>
        <v>0</v>
      </c>
      <c r="DF7" s="84">
        <f t="shared" si="13"/>
        <v>0</v>
      </c>
    </row>
    <row r="8" spans="1:110">
      <c r="A8" s="1" t="s">
        <v>104</v>
      </c>
      <c r="B8" s="1">
        <v>304</v>
      </c>
      <c r="C8" s="17" t="s">
        <v>108</v>
      </c>
      <c r="D8" s="18"/>
      <c r="E8" s="18"/>
      <c r="F8" s="19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T8" s="84">
        <f t="shared" si="5"/>
        <v>0</v>
      </c>
      <c r="CU8" s="84">
        <f t="shared" si="6"/>
        <v>0</v>
      </c>
      <c r="CV8" s="84">
        <f t="shared" si="7"/>
        <v>0</v>
      </c>
      <c r="CW8" s="84">
        <f t="shared" si="8"/>
        <v>0</v>
      </c>
      <c r="CX8" s="84">
        <f t="shared" si="9"/>
        <v>0</v>
      </c>
      <c r="CZ8" s="84">
        <f t="shared" si="10"/>
        <v>0</v>
      </c>
      <c r="DA8" s="84">
        <f t="shared" si="3"/>
        <v>0</v>
      </c>
      <c r="DC8" s="84">
        <f t="shared" si="11"/>
        <v>0</v>
      </c>
      <c r="DD8" s="84">
        <f t="shared" si="12"/>
        <v>0</v>
      </c>
      <c r="DE8" s="84">
        <f t="shared" si="4"/>
        <v>0</v>
      </c>
      <c r="DF8" s="84">
        <f t="shared" si="13"/>
        <v>0</v>
      </c>
    </row>
    <row r="9" spans="1:110">
      <c r="A9" s="1" t="s">
        <v>104</v>
      </c>
      <c r="B9" s="1">
        <v>305</v>
      </c>
      <c r="C9" s="17" t="s">
        <v>109</v>
      </c>
      <c r="D9" s="18"/>
      <c r="E9" s="18"/>
      <c r="F9" s="19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T9" s="84">
        <f t="shared" si="5"/>
        <v>0</v>
      </c>
      <c r="CU9" s="84">
        <f t="shared" si="6"/>
        <v>0</v>
      </c>
      <c r="CV9" s="84">
        <f t="shared" si="7"/>
        <v>0</v>
      </c>
      <c r="CW9" s="84">
        <f t="shared" si="8"/>
        <v>0</v>
      </c>
      <c r="CX9" s="84">
        <f t="shared" si="9"/>
        <v>0</v>
      </c>
      <c r="CZ9" s="84">
        <f t="shared" si="10"/>
        <v>0</v>
      </c>
      <c r="DA9" s="84">
        <f t="shared" si="3"/>
        <v>0</v>
      </c>
      <c r="DC9" s="84">
        <f t="shared" si="11"/>
        <v>0</v>
      </c>
      <c r="DD9" s="84">
        <f t="shared" si="12"/>
        <v>0</v>
      </c>
      <c r="DE9" s="84">
        <f t="shared" si="4"/>
        <v>0</v>
      </c>
      <c r="DF9" s="84">
        <f t="shared" si="13"/>
        <v>0</v>
      </c>
    </row>
    <row r="10" spans="1:110">
      <c r="A10" s="1" t="s">
        <v>104</v>
      </c>
      <c r="B10" s="1">
        <v>306</v>
      </c>
      <c r="C10" s="17" t="s">
        <v>110</v>
      </c>
      <c r="D10" s="18"/>
      <c r="E10" s="18"/>
      <c r="F10" s="19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T10" s="84">
        <f t="shared" si="5"/>
        <v>0</v>
      </c>
      <c r="CU10" s="84">
        <f t="shared" si="6"/>
        <v>0</v>
      </c>
      <c r="CV10" s="84">
        <f t="shared" si="7"/>
        <v>0</v>
      </c>
      <c r="CW10" s="84">
        <f t="shared" si="8"/>
        <v>0</v>
      </c>
      <c r="CX10" s="84">
        <f t="shared" si="9"/>
        <v>0</v>
      </c>
      <c r="CZ10" s="84">
        <f t="shared" si="10"/>
        <v>0</v>
      </c>
      <c r="DA10" s="84">
        <f t="shared" si="3"/>
        <v>0</v>
      </c>
      <c r="DC10" s="84">
        <f t="shared" si="11"/>
        <v>0</v>
      </c>
      <c r="DD10" s="84">
        <f t="shared" si="12"/>
        <v>0</v>
      </c>
      <c r="DE10" s="84">
        <f t="shared" si="4"/>
        <v>0</v>
      </c>
      <c r="DF10" s="84">
        <f t="shared" si="13"/>
        <v>0</v>
      </c>
    </row>
    <row r="11" spans="1:110">
      <c r="A11" s="1" t="s">
        <v>104</v>
      </c>
      <c r="B11" s="1">
        <v>307</v>
      </c>
      <c r="C11" s="17" t="s">
        <v>111</v>
      </c>
      <c r="D11" s="21"/>
      <c r="E11" s="21"/>
      <c r="F11" s="22"/>
      <c r="G11" s="21"/>
      <c r="H11" s="21"/>
      <c r="I11" s="21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1"/>
      <c r="U11" s="21"/>
      <c r="V11" s="23"/>
      <c r="W11" s="23"/>
      <c r="X11" s="23"/>
      <c r="Y11" s="21"/>
      <c r="Z11" s="21"/>
      <c r="AA11" s="21"/>
      <c r="AB11" s="23"/>
      <c r="AC11" s="23"/>
      <c r="AD11" s="23"/>
      <c r="AE11" s="21"/>
      <c r="AF11" s="23"/>
      <c r="AG11" s="23"/>
      <c r="AH11" s="21"/>
      <c r="AI11" s="23"/>
      <c r="AJ11" s="23"/>
      <c r="AK11" s="21"/>
      <c r="AL11" s="23"/>
      <c r="AM11" s="23"/>
      <c r="AN11" s="23"/>
      <c r="AO11" s="21"/>
      <c r="AP11" s="21"/>
      <c r="AQ11" s="21"/>
      <c r="AR11" s="21"/>
      <c r="AS11" s="21"/>
      <c r="AT11" s="21"/>
      <c r="AU11" s="21"/>
      <c r="AV11" s="21"/>
      <c r="AW11" s="21"/>
      <c r="AX11" s="23"/>
      <c r="AY11" s="23"/>
      <c r="AZ11" s="23"/>
      <c r="BA11" s="23"/>
      <c r="BB11" s="23"/>
      <c r="BC11" s="21"/>
      <c r="BD11" s="21"/>
      <c r="BE11" s="21"/>
      <c r="BF11" s="23"/>
      <c r="BG11" s="23"/>
      <c r="BH11" s="23"/>
      <c r="BI11" s="21"/>
      <c r="BJ11" s="21"/>
      <c r="BK11" s="23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T11" s="84">
        <f t="shared" si="5"/>
        <v>0</v>
      </c>
      <c r="CU11" s="84">
        <f t="shared" si="6"/>
        <v>0</v>
      </c>
      <c r="CV11" s="84">
        <f t="shared" si="7"/>
        <v>0</v>
      </c>
      <c r="CW11" s="84">
        <f t="shared" si="8"/>
        <v>0</v>
      </c>
      <c r="CX11" s="84">
        <f t="shared" si="9"/>
        <v>0</v>
      </c>
      <c r="CZ11" s="84">
        <f t="shared" si="10"/>
        <v>0</v>
      </c>
      <c r="DA11" s="84">
        <f t="shared" si="3"/>
        <v>0</v>
      </c>
      <c r="DC11" s="84">
        <f t="shared" si="11"/>
        <v>0</v>
      </c>
      <c r="DD11" s="84">
        <f t="shared" si="12"/>
        <v>0</v>
      </c>
      <c r="DE11" s="84">
        <f t="shared" si="4"/>
        <v>0</v>
      </c>
      <c r="DF11" s="84">
        <f t="shared" si="13"/>
        <v>0</v>
      </c>
    </row>
    <row r="12" spans="1:110">
      <c r="A12" s="1" t="s">
        <v>104</v>
      </c>
      <c r="B12" s="1">
        <v>308</v>
      </c>
      <c r="C12" s="17" t="s">
        <v>112</v>
      </c>
      <c r="D12" s="18"/>
      <c r="E12" s="18"/>
      <c r="F12" s="19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T12" s="84">
        <f t="shared" si="5"/>
        <v>0</v>
      </c>
      <c r="CU12" s="84">
        <f t="shared" si="6"/>
        <v>0</v>
      </c>
      <c r="CV12" s="84">
        <f t="shared" si="7"/>
        <v>0</v>
      </c>
      <c r="CW12" s="84">
        <f t="shared" si="8"/>
        <v>0</v>
      </c>
      <c r="CX12" s="84">
        <f t="shared" si="9"/>
        <v>0</v>
      </c>
      <c r="CZ12" s="84">
        <f t="shared" si="10"/>
        <v>0</v>
      </c>
      <c r="DA12" s="84">
        <f t="shared" si="3"/>
        <v>0</v>
      </c>
      <c r="DC12" s="84">
        <f t="shared" si="11"/>
        <v>0</v>
      </c>
      <c r="DD12" s="84">
        <f t="shared" si="12"/>
        <v>0</v>
      </c>
      <c r="DE12" s="84">
        <f t="shared" si="4"/>
        <v>0</v>
      </c>
      <c r="DF12" s="84">
        <f t="shared" si="13"/>
        <v>0</v>
      </c>
    </row>
    <row r="13" spans="1:110">
      <c r="A13" s="1" t="s">
        <v>104</v>
      </c>
      <c r="B13" s="1">
        <v>309</v>
      </c>
      <c r="C13" s="17" t="s">
        <v>113</v>
      </c>
      <c r="D13" s="18"/>
      <c r="E13" s="18"/>
      <c r="F13" s="19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T13" s="84">
        <f t="shared" si="5"/>
        <v>0</v>
      </c>
      <c r="CU13" s="84">
        <f t="shared" si="6"/>
        <v>0</v>
      </c>
      <c r="CV13" s="84">
        <f t="shared" si="7"/>
        <v>0</v>
      </c>
      <c r="CW13" s="84">
        <f t="shared" si="8"/>
        <v>0</v>
      </c>
      <c r="CX13" s="84">
        <f t="shared" si="9"/>
        <v>0</v>
      </c>
      <c r="CZ13" s="84">
        <f t="shared" si="10"/>
        <v>0</v>
      </c>
      <c r="DA13" s="84">
        <f t="shared" si="3"/>
        <v>0</v>
      </c>
      <c r="DC13" s="84">
        <f t="shared" si="11"/>
        <v>0</v>
      </c>
      <c r="DD13" s="84">
        <f t="shared" si="12"/>
        <v>0</v>
      </c>
      <c r="DE13" s="84">
        <f t="shared" si="4"/>
        <v>0</v>
      </c>
      <c r="DF13" s="84">
        <f t="shared" si="13"/>
        <v>0</v>
      </c>
    </row>
    <row r="14" spans="1:110">
      <c r="A14" s="1" t="s">
        <v>104</v>
      </c>
      <c r="B14" s="1">
        <v>310</v>
      </c>
      <c r="C14" s="17" t="s">
        <v>114</v>
      </c>
      <c r="D14" s="18"/>
      <c r="E14" s="18"/>
      <c r="F14" s="19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T14" s="84">
        <f t="shared" si="5"/>
        <v>0</v>
      </c>
      <c r="CU14" s="84">
        <f t="shared" si="6"/>
        <v>0</v>
      </c>
      <c r="CV14" s="84">
        <f t="shared" si="7"/>
        <v>0</v>
      </c>
      <c r="CW14" s="84">
        <f t="shared" si="8"/>
        <v>0</v>
      </c>
      <c r="CX14" s="84">
        <f t="shared" si="9"/>
        <v>0</v>
      </c>
      <c r="CZ14" s="84">
        <f t="shared" si="10"/>
        <v>0</v>
      </c>
      <c r="DA14" s="84">
        <f t="shared" si="3"/>
        <v>0</v>
      </c>
      <c r="DC14" s="84">
        <f t="shared" si="11"/>
        <v>0</v>
      </c>
      <c r="DD14" s="84">
        <f t="shared" si="12"/>
        <v>0</v>
      </c>
      <c r="DE14" s="84">
        <f t="shared" si="4"/>
        <v>0</v>
      </c>
      <c r="DF14" s="84">
        <f t="shared" si="13"/>
        <v>0</v>
      </c>
    </row>
    <row r="15" spans="1:110">
      <c r="A15" s="1" t="s">
        <v>104</v>
      </c>
      <c r="B15" s="1">
        <v>311</v>
      </c>
      <c r="C15" s="17" t="s">
        <v>115</v>
      </c>
      <c r="D15" s="18"/>
      <c r="E15" s="18"/>
      <c r="F15" s="19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73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T15" s="84">
        <f t="shared" si="5"/>
        <v>0</v>
      </c>
      <c r="CU15" s="84">
        <f t="shared" si="6"/>
        <v>0</v>
      </c>
      <c r="CV15" s="84">
        <f t="shared" si="7"/>
        <v>0</v>
      </c>
      <c r="CW15" s="84">
        <f t="shared" si="8"/>
        <v>0</v>
      </c>
      <c r="CX15" s="84">
        <f t="shared" si="9"/>
        <v>0</v>
      </c>
      <c r="CZ15" s="84">
        <f t="shared" si="10"/>
        <v>0</v>
      </c>
      <c r="DA15" s="84">
        <f t="shared" si="3"/>
        <v>0</v>
      </c>
      <c r="DC15" s="84">
        <f t="shared" si="11"/>
        <v>0</v>
      </c>
      <c r="DD15" s="84">
        <f t="shared" si="12"/>
        <v>0</v>
      </c>
      <c r="DE15" s="84">
        <f t="shared" si="4"/>
        <v>0</v>
      </c>
      <c r="DF15" s="84">
        <f t="shared" si="13"/>
        <v>0</v>
      </c>
    </row>
    <row r="16" spans="1:110">
      <c r="A16" s="1" t="s">
        <v>104</v>
      </c>
      <c r="B16" s="1">
        <v>312</v>
      </c>
      <c r="C16" s="17" t="s">
        <v>116</v>
      </c>
      <c r="D16" s="18"/>
      <c r="E16" s="18"/>
      <c r="F16" s="19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T16" s="84">
        <f t="shared" si="5"/>
        <v>0</v>
      </c>
      <c r="CU16" s="84">
        <f t="shared" si="6"/>
        <v>0</v>
      </c>
      <c r="CV16" s="84">
        <f t="shared" si="7"/>
        <v>0</v>
      </c>
      <c r="CW16" s="84">
        <f t="shared" si="8"/>
        <v>0</v>
      </c>
      <c r="CX16" s="84">
        <f t="shared" si="9"/>
        <v>0</v>
      </c>
      <c r="CZ16" s="84">
        <f t="shared" si="10"/>
        <v>0</v>
      </c>
      <c r="DA16" s="84">
        <f t="shared" si="3"/>
        <v>0</v>
      </c>
      <c r="DC16" s="84">
        <f t="shared" si="11"/>
        <v>0</v>
      </c>
      <c r="DD16" s="84">
        <f t="shared" si="12"/>
        <v>0</v>
      </c>
      <c r="DE16" s="84">
        <f t="shared" si="4"/>
        <v>0</v>
      </c>
      <c r="DF16" s="84">
        <f t="shared" si="13"/>
        <v>0</v>
      </c>
    </row>
    <row r="17" spans="1:110">
      <c r="A17" s="1" t="s">
        <v>104</v>
      </c>
      <c r="B17" s="1">
        <v>313</v>
      </c>
      <c r="C17" s="17" t="s">
        <v>117</v>
      </c>
      <c r="D17" s="18"/>
      <c r="E17" s="18"/>
      <c r="F17" s="19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T17" s="84">
        <f t="shared" si="5"/>
        <v>0</v>
      </c>
      <c r="CU17" s="84">
        <f t="shared" si="6"/>
        <v>0</v>
      </c>
      <c r="CV17" s="84">
        <f t="shared" si="7"/>
        <v>0</v>
      </c>
      <c r="CW17" s="84">
        <f t="shared" si="8"/>
        <v>0</v>
      </c>
      <c r="CX17" s="84">
        <f t="shared" si="9"/>
        <v>0</v>
      </c>
      <c r="CZ17" s="84">
        <f t="shared" si="10"/>
        <v>0</v>
      </c>
      <c r="DA17" s="84">
        <f t="shared" si="3"/>
        <v>0</v>
      </c>
      <c r="DC17" s="84">
        <f t="shared" si="11"/>
        <v>0</v>
      </c>
      <c r="DD17" s="84">
        <f t="shared" si="12"/>
        <v>0</v>
      </c>
      <c r="DE17" s="84">
        <f t="shared" si="4"/>
        <v>0</v>
      </c>
      <c r="DF17" s="84">
        <f t="shared" si="13"/>
        <v>0</v>
      </c>
    </row>
    <row r="18" spans="1:110">
      <c r="A18" s="1" t="s">
        <v>104</v>
      </c>
      <c r="B18" s="1">
        <v>314</v>
      </c>
      <c r="C18" s="17" t="s">
        <v>118</v>
      </c>
      <c r="D18" s="23"/>
      <c r="E18" s="23"/>
      <c r="F18" s="24"/>
      <c r="G18" s="23"/>
      <c r="H18" s="21"/>
      <c r="I18" s="21"/>
      <c r="J18" s="21"/>
      <c r="K18" s="21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1"/>
      <c r="AP18" s="21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1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1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T18" s="84">
        <f t="shared" si="5"/>
        <v>0</v>
      </c>
      <c r="CU18" s="84">
        <f t="shared" si="6"/>
        <v>0</v>
      </c>
      <c r="CV18" s="84">
        <f t="shared" si="7"/>
        <v>0</v>
      </c>
      <c r="CW18" s="84">
        <f t="shared" si="8"/>
        <v>0</v>
      </c>
      <c r="CX18" s="84">
        <f t="shared" si="9"/>
        <v>0</v>
      </c>
      <c r="CZ18" s="84">
        <f t="shared" si="10"/>
        <v>0</v>
      </c>
      <c r="DA18" s="84">
        <f t="shared" si="3"/>
        <v>0</v>
      </c>
      <c r="DC18" s="84">
        <f t="shared" si="11"/>
        <v>0</v>
      </c>
      <c r="DD18" s="84">
        <f t="shared" si="12"/>
        <v>0</v>
      </c>
      <c r="DE18" s="84">
        <f t="shared" si="4"/>
        <v>0</v>
      </c>
      <c r="DF18" s="84">
        <f t="shared" si="13"/>
        <v>0</v>
      </c>
    </row>
    <row r="19" spans="1:110">
      <c r="A19" s="1" t="s">
        <v>104</v>
      </c>
      <c r="B19" s="1">
        <v>315</v>
      </c>
      <c r="C19" s="17" t="s">
        <v>119</v>
      </c>
      <c r="D19" s="25"/>
      <c r="E19" s="25"/>
      <c r="F19" s="26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18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T19" s="84">
        <f t="shared" si="5"/>
        <v>0</v>
      </c>
      <c r="CU19" s="84">
        <f t="shared" si="6"/>
        <v>0</v>
      </c>
      <c r="CV19" s="84">
        <f t="shared" si="7"/>
        <v>0</v>
      </c>
      <c r="CW19" s="84">
        <f t="shared" si="8"/>
        <v>0</v>
      </c>
      <c r="CX19" s="84">
        <f t="shared" si="9"/>
        <v>0</v>
      </c>
      <c r="CZ19" s="84">
        <f t="shared" si="10"/>
        <v>0</v>
      </c>
      <c r="DA19" s="84">
        <f t="shared" si="3"/>
        <v>0</v>
      </c>
      <c r="DC19" s="84">
        <f t="shared" si="11"/>
        <v>0</v>
      </c>
      <c r="DD19" s="84">
        <f t="shared" si="12"/>
        <v>0</v>
      </c>
      <c r="DE19" s="84">
        <f t="shared" si="4"/>
        <v>0</v>
      </c>
      <c r="DF19" s="84">
        <f t="shared" si="13"/>
        <v>0</v>
      </c>
    </row>
    <row r="20" spans="1:110">
      <c r="A20" s="1" t="s">
        <v>104</v>
      </c>
      <c r="B20" s="1">
        <v>316</v>
      </c>
      <c r="C20" s="17" t="s">
        <v>120</v>
      </c>
      <c r="D20" s="18"/>
      <c r="E20" s="18"/>
      <c r="F20" s="19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T20" s="84">
        <f t="shared" si="5"/>
        <v>0</v>
      </c>
      <c r="CU20" s="84">
        <f t="shared" si="6"/>
        <v>0</v>
      </c>
      <c r="CV20" s="84">
        <f t="shared" si="7"/>
        <v>0</v>
      </c>
      <c r="CW20" s="84">
        <f t="shared" si="8"/>
        <v>0</v>
      </c>
      <c r="CX20" s="84">
        <f t="shared" si="9"/>
        <v>0</v>
      </c>
      <c r="CZ20" s="84">
        <f t="shared" si="10"/>
        <v>0</v>
      </c>
      <c r="DA20" s="84">
        <f t="shared" si="3"/>
        <v>0</v>
      </c>
      <c r="DC20" s="84">
        <f t="shared" si="11"/>
        <v>0</v>
      </c>
      <c r="DD20" s="84">
        <f t="shared" si="12"/>
        <v>0</v>
      </c>
      <c r="DE20" s="84">
        <f t="shared" si="4"/>
        <v>0</v>
      </c>
      <c r="DF20" s="84">
        <f t="shared" si="13"/>
        <v>0</v>
      </c>
    </row>
    <row r="21" spans="1:110">
      <c r="A21" s="1" t="s">
        <v>104</v>
      </c>
      <c r="B21" s="1">
        <v>317</v>
      </c>
      <c r="C21" s="17" t="s">
        <v>121</v>
      </c>
      <c r="D21" s="18"/>
      <c r="E21" s="18"/>
      <c r="F21" s="19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T21" s="84">
        <f t="shared" si="5"/>
        <v>0</v>
      </c>
      <c r="CU21" s="84">
        <f t="shared" si="6"/>
        <v>0</v>
      </c>
      <c r="CV21" s="84">
        <f t="shared" si="7"/>
        <v>0</v>
      </c>
      <c r="CW21" s="84">
        <f t="shared" si="8"/>
        <v>0</v>
      </c>
      <c r="CX21" s="84">
        <f t="shared" si="9"/>
        <v>0</v>
      </c>
      <c r="CZ21" s="84">
        <f t="shared" si="10"/>
        <v>0</v>
      </c>
      <c r="DA21" s="84">
        <f t="shared" si="3"/>
        <v>0</v>
      </c>
      <c r="DC21" s="84">
        <f t="shared" si="11"/>
        <v>0</v>
      </c>
      <c r="DD21" s="84">
        <f t="shared" si="12"/>
        <v>0</v>
      </c>
      <c r="DE21" s="84">
        <f t="shared" si="4"/>
        <v>0</v>
      </c>
      <c r="DF21" s="84">
        <f t="shared" si="13"/>
        <v>0</v>
      </c>
    </row>
    <row r="22" spans="1:110">
      <c r="A22" s="1" t="s">
        <v>104</v>
      </c>
      <c r="B22" s="1">
        <v>318</v>
      </c>
      <c r="C22" s="17" t="s">
        <v>122</v>
      </c>
      <c r="D22" s="18"/>
      <c r="E22" s="18"/>
      <c r="F22" s="19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T22" s="84">
        <f t="shared" si="5"/>
        <v>0</v>
      </c>
      <c r="CU22" s="84">
        <f t="shared" si="6"/>
        <v>0</v>
      </c>
      <c r="CV22" s="84">
        <f t="shared" si="7"/>
        <v>0</v>
      </c>
      <c r="CW22" s="84">
        <f t="shared" si="8"/>
        <v>0</v>
      </c>
      <c r="CX22" s="84">
        <f t="shared" si="9"/>
        <v>0</v>
      </c>
      <c r="CZ22" s="84">
        <f t="shared" si="10"/>
        <v>0</v>
      </c>
      <c r="DA22" s="84">
        <f t="shared" si="3"/>
        <v>0</v>
      </c>
      <c r="DC22" s="84">
        <f t="shared" si="11"/>
        <v>0</v>
      </c>
      <c r="DD22" s="84">
        <f t="shared" si="12"/>
        <v>0</v>
      </c>
      <c r="DE22" s="84">
        <f t="shared" si="4"/>
        <v>0</v>
      </c>
      <c r="DF22" s="84">
        <f t="shared" si="13"/>
        <v>0</v>
      </c>
    </row>
    <row r="23" spans="1:110">
      <c r="A23" s="1" t="s">
        <v>104</v>
      </c>
      <c r="B23" s="1">
        <v>319</v>
      </c>
      <c r="C23" s="17" t="s">
        <v>123</v>
      </c>
      <c r="D23" s="18"/>
      <c r="E23" s="18"/>
      <c r="F23" s="19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73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T23" s="84">
        <f t="shared" si="5"/>
        <v>0</v>
      </c>
      <c r="CU23" s="84">
        <f t="shared" si="6"/>
        <v>0</v>
      </c>
      <c r="CV23" s="84">
        <f t="shared" si="7"/>
        <v>0</v>
      </c>
      <c r="CW23" s="84">
        <f t="shared" si="8"/>
        <v>0</v>
      </c>
      <c r="CX23" s="84">
        <f t="shared" si="9"/>
        <v>0</v>
      </c>
      <c r="CZ23" s="84">
        <f t="shared" si="10"/>
        <v>0</v>
      </c>
      <c r="DA23" s="84">
        <f t="shared" si="3"/>
        <v>0</v>
      </c>
      <c r="DC23" s="84">
        <f t="shared" si="11"/>
        <v>0</v>
      </c>
      <c r="DD23" s="84">
        <f t="shared" si="12"/>
        <v>0</v>
      </c>
      <c r="DE23" s="84">
        <f t="shared" si="4"/>
        <v>0</v>
      </c>
      <c r="DF23" s="84">
        <f t="shared" si="13"/>
        <v>0</v>
      </c>
    </row>
    <row r="24" spans="1:110">
      <c r="A24" s="1" t="s">
        <v>104</v>
      </c>
      <c r="B24" s="1">
        <v>320</v>
      </c>
      <c r="C24" s="17" t="s">
        <v>124</v>
      </c>
      <c r="D24" s="18"/>
      <c r="E24" s="18"/>
      <c r="F24" s="19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T24" s="84">
        <f t="shared" si="5"/>
        <v>0</v>
      </c>
      <c r="CU24" s="84">
        <f t="shared" si="6"/>
        <v>0</v>
      </c>
      <c r="CV24" s="84">
        <f t="shared" si="7"/>
        <v>0</v>
      </c>
      <c r="CW24" s="84">
        <f t="shared" si="8"/>
        <v>0</v>
      </c>
      <c r="CX24" s="84">
        <f t="shared" si="9"/>
        <v>0</v>
      </c>
      <c r="CZ24" s="84">
        <f t="shared" si="10"/>
        <v>0</v>
      </c>
      <c r="DA24" s="84">
        <f t="shared" si="3"/>
        <v>0</v>
      </c>
      <c r="DC24" s="84">
        <f t="shared" si="11"/>
        <v>0</v>
      </c>
      <c r="DD24" s="84">
        <f t="shared" si="12"/>
        <v>0</v>
      </c>
      <c r="DE24" s="84">
        <f t="shared" si="4"/>
        <v>0</v>
      </c>
      <c r="DF24" s="84">
        <f t="shared" si="13"/>
        <v>0</v>
      </c>
    </row>
    <row r="25" spans="1:110">
      <c r="A25" s="1" t="s">
        <v>104</v>
      </c>
      <c r="B25" s="1">
        <v>321</v>
      </c>
      <c r="C25" s="17" t="s">
        <v>125</v>
      </c>
      <c r="D25" s="18"/>
      <c r="E25" s="18"/>
      <c r="F25" s="19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T25" s="84">
        <f t="shared" si="5"/>
        <v>0</v>
      </c>
      <c r="CU25" s="84">
        <f t="shared" si="6"/>
        <v>0</v>
      </c>
      <c r="CV25" s="84">
        <f t="shared" si="7"/>
        <v>0</v>
      </c>
      <c r="CW25" s="84">
        <f t="shared" si="8"/>
        <v>0</v>
      </c>
      <c r="CX25" s="84">
        <f t="shared" si="9"/>
        <v>0</v>
      </c>
      <c r="CZ25" s="84">
        <f t="shared" si="10"/>
        <v>0</v>
      </c>
      <c r="DA25" s="84">
        <f t="shared" si="3"/>
        <v>0</v>
      </c>
      <c r="DC25" s="84">
        <f t="shared" si="11"/>
        <v>0</v>
      </c>
      <c r="DD25" s="84">
        <f t="shared" si="12"/>
        <v>0</v>
      </c>
      <c r="DE25" s="84">
        <f t="shared" si="4"/>
        <v>0</v>
      </c>
      <c r="DF25" s="84">
        <f t="shared" si="13"/>
        <v>0</v>
      </c>
    </row>
    <row r="26" spans="1:110">
      <c r="A26" s="1" t="s">
        <v>104</v>
      </c>
      <c r="B26" s="1">
        <v>322</v>
      </c>
      <c r="C26" s="17" t="s">
        <v>126</v>
      </c>
      <c r="D26" s="18"/>
      <c r="E26" s="18"/>
      <c r="F26" s="19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T26" s="84">
        <f t="shared" si="5"/>
        <v>0</v>
      </c>
      <c r="CU26" s="84">
        <f t="shared" si="6"/>
        <v>0</v>
      </c>
      <c r="CV26" s="84">
        <f t="shared" si="7"/>
        <v>0</v>
      </c>
      <c r="CW26" s="84">
        <f t="shared" si="8"/>
        <v>0</v>
      </c>
      <c r="CX26" s="84">
        <f t="shared" si="9"/>
        <v>0</v>
      </c>
      <c r="CZ26" s="84">
        <f t="shared" si="10"/>
        <v>0</v>
      </c>
      <c r="DA26" s="84">
        <f t="shared" si="3"/>
        <v>0</v>
      </c>
      <c r="DC26" s="84">
        <f t="shared" si="11"/>
        <v>0</v>
      </c>
      <c r="DD26" s="84">
        <f t="shared" si="12"/>
        <v>0</v>
      </c>
      <c r="DE26" s="84">
        <f t="shared" si="4"/>
        <v>0</v>
      </c>
      <c r="DF26" s="84">
        <f t="shared" si="13"/>
        <v>0</v>
      </c>
    </row>
    <row r="27" spans="1:110">
      <c r="A27" s="1" t="s">
        <v>104</v>
      </c>
      <c r="B27" s="1">
        <v>323</v>
      </c>
      <c r="C27" s="17" t="s">
        <v>127</v>
      </c>
      <c r="D27" s="18"/>
      <c r="E27" s="18"/>
      <c r="F27" s="19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T27" s="84">
        <f t="shared" si="5"/>
        <v>0</v>
      </c>
      <c r="CU27" s="84">
        <f t="shared" si="6"/>
        <v>0</v>
      </c>
      <c r="CV27" s="84">
        <f t="shared" si="7"/>
        <v>0</v>
      </c>
      <c r="CW27" s="84">
        <f t="shared" si="8"/>
        <v>0</v>
      </c>
      <c r="CX27" s="84">
        <f t="shared" si="9"/>
        <v>0</v>
      </c>
      <c r="CZ27" s="84">
        <f t="shared" si="10"/>
        <v>0</v>
      </c>
      <c r="DA27" s="84">
        <f t="shared" si="3"/>
        <v>0</v>
      </c>
      <c r="DC27" s="84">
        <f t="shared" si="11"/>
        <v>0</v>
      </c>
      <c r="DD27" s="84">
        <f t="shared" si="12"/>
        <v>0</v>
      </c>
      <c r="DE27" s="84">
        <f t="shared" si="4"/>
        <v>0</v>
      </c>
      <c r="DF27" s="84">
        <f t="shared" si="13"/>
        <v>0</v>
      </c>
    </row>
    <row r="28" spans="1:110">
      <c r="A28" s="1" t="s">
        <v>104</v>
      </c>
      <c r="B28" s="1">
        <v>324</v>
      </c>
      <c r="C28" s="17" t="s">
        <v>128</v>
      </c>
      <c r="D28" s="18"/>
      <c r="E28" s="18"/>
      <c r="F28" s="19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T28" s="84">
        <f t="shared" si="5"/>
        <v>0</v>
      </c>
      <c r="CU28" s="84">
        <f t="shared" si="6"/>
        <v>0</v>
      </c>
      <c r="CV28" s="84">
        <f t="shared" si="7"/>
        <v>0</v>
      </c>
      <c r="CW28" s="84">
        <f t="shared" si="8"/>
        <v>0</v>
      </c>
      <c r="CX28" s="84">
        <f t="shared" si="9"/>
        <v>0</v>
      </c>
      <c r="CZ28" s="84">
        <f t="shared" si="10"/>
        <v>0</v>
      </c>
      <c r="DA28" s="84">
        <f t="shared" si="3"/>
        <v>0</v>
      </c>
      <c r="DC28" s="84">
        <f t="shared" si="11"/>
        <v>0</v>
      </c>
      <c r="DD28" s="84">
        <f t="shared" si="12"/>
        <v>0</v>
      </c>
      <c r="DE28" s="84">
        <f t="shared" si="4"/>
        <v>0</v>
      </c>
      <c r="DF28" s="84">
        <f t="shared" si="13"/>
        <v>0</v>
      </c>
    </row>
    <row r="29" spans="1:110">
      <c r="A29" s="1" t="s">
        <v>104</v>
      </c>
      <c r="B29" s="1">
        <v>325</v>
      </c>
      <c r="C29" s="17" t="s">
        <v>129</v>
      </c>
      <c r="D29" s="18"/>
      <c r="E29" s="18"/>
      <c r="F29" s="19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T29" s="84">
        <f t="shared" si="5"/>
        <v>0</v>
      </c>
      <c r="CU29" s="84">
        <f t="shared" si="6"/>
        <v>0</v>
      </c>
      <c r="CV29" s="84">
        <f t="shared" si="7"/>
        <v>0</v>
      </c>
      <c r="CW29" s="84">
        <f t="shared" si="8"/>
        <v>0</v>
      </c>
      <c r="CX29" s="84">
        <f t="shared" si="9"/>
        <v>0</v>
      </c>
      <c r="CZ29" s="84">
        <f t="shared" si="10"/>
        <v>0</v>
      </c>
      <c r="DA29" s="84">
        <f t="shared" si="3"/>
        <v>0</v>
      </c>
      <c r="DC29" s="84">
        <f t="shared" si="11"/>
        <v>0</v>
      </c>
      <c r="DD29" s="84">
        <f t="shared" si="12"/>
        <v>0</v>
      </c>
      <c r="DE29" s="84">
        <f t="shared" si="4"/>
        <v>0</v>
      </c>
      <c r="DF29" s="84">
        <f t="shared" si="13"/>
        <v>0</v>
      </c>
    </row>
    <row r="30" spans="1:110">
      <c r="A30" s="1" t="s">
        <v>104</v>
      </c>
      <c r="B30" s="1">
        <v>326</v>
      </c>
      <c r="C30" s="17" t="s">
        <v>130</v>
      </c>
      <c r="D30" s="18">
        <v>11</v>
      </c>
      <c r="E30" s="18">
        <v>16</v>
      </c>
      <c r="F30" s="19">
        <v>16</v>
      </c>
      <c r="G30" s="18">
        <v>1</v>
      </c>
      <c r="H30" s="18">
        <v>1</v>
      </c>
      <c r="I30" s="18"/>
      <c r="J30" s="18"/>
      <c r="K30" s="18"/>
      <c r="L30" s="18">
        <v>44</v>
      </c>
      <c r="M30" s="18">
        <v>24</v>
      </c>
      <c r="N30" s="18">
        <v>17</v>
      </c>
      <c r="O30" s="18">
        <v>5</v>
      </c>
      <c r="P30" s="18">
        <v>1</v>
      </c>
      <c r="Q30" s="18">
        <v>3</v>
      </c>
      <c r="R30" s="18">
        <v>71</v>
      </c>
      <c r="S30" s="18">
        <v>36</v>
      </c>
      <c r="T30" s="18">
        <v>11</v>
      </c>
      <c r="U30" s="18"/>
      <c r="V30" s="18">
        <v>14</v>
      </c>
      <c r="W30" s="18">
        <v>10</v>
      </c>
      <c r="X30" s="18">
        <v>12</v>
      </c>
      <c r="Y30" s="18">
        <v>1</v>
      </c>
      <c r="Z30" s="18">
        <v>2</v>
      </c>
      <c r="AA30" s="18">
        <v>4</v>
      </c>
      <c r="AB30" s="18">
        <v>8</v>
      </c>
      <c r="AC30" s="18">
        <v>8</v>
      </c>
      <c r="AD30" s="18">
        <v>4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5</v>
      </c>
      <c r="AK30" s="18">
        <v>5</v>
      </c>
      <c r="AL30" s="18">
        <v>1</v>
      </c>
      <c r="AM30" s="18">
        <v>4</v>
      </c>
      <c r="AN30" s="18">
        <v>6</v>
      </c>
      <c r="AO30" s="18">
        <v>9</v>
      </c>
      <c r="AP30" s="18">
        <v>5</v>
      </c>
      <c r="AQ30" s="18">
        <v>3</v>
      </c>
      <c r="AR30" s="18">
        <v>3</v>
      </c>
      <c r="AS30" s="18">
        <v>5</v>
      </c>
      <c r="AT30" s="18">
        <v>11</v>
      </c>
      <c r="AU30" s="18">
        <v>0</v>
      </c>
      <c r="AV30" s="18">
        <v>0</v>
      </c>
      <c r="AW30" s="18">
        <v>3</v>
      </c>
      <c r="AX30" s="18">
        <v>61</v>
      </c>
      <c r="AY30" s="18">
        <v>36</v>
      </c>
      <c r="AZ30" s="18">
        <v>0</v>
      </c>
      <c r="BA30" s="18"/>
      <c r="BB30" s="18"/>
      <c r="BC30" s="18"/>
      <c r="BD30" s="18">
        <v>11</v>
      </c>
      <c r="BE30" s="18">
        <v>0</v>
      </c>
      <c r="BF30" s="18">
        <v>62</v>
      </c>
      <c r="BG30" s="18">
        <v>0</v>
      </c>
      <c r="BH30" s="18">
        <v>14</v>
      </c>
      <c r="BI30" s="18">
        <v>22</v>
      </c>
      <c r="BJ30" s="18">
        <v>16</v>
      </c>
      <c r="BK30" s="18">
        <v>95</v>
      </c>
      <c r="BL30" s="18">
        <v>1</v>
      </c>
      <c r="BM30" s="18"/>
      <c r="BN30" s="18"/>
      <c r="BO30" s="18"/>
      <c r="BP30" s="18">
        <v>0</v>
      </c>
      <c r="BQ30" s="18">
        <v>1</v>
      </c>
      <c r="BR30" s="18">
        <v>0</v>
      </c>
      <c r="BS30" s="18">
        <v>0</v>
      </c>
      <c r="BT30" s="18">
        <v>1</v>
      </c>
      <c r="BU30" s="18">
        <v>1</v>
      </c>
      <c r="BV30" s="18">
        <v>0</v>
      </c>
      <c r="BW30" s="18">
        <v>2</v>
      </c>
      <c r="BX30" s="18">
        <v>1</v>
      </c>
      <c r="BY30" s="18">
        <v>0</v>
      </c>
      <c r="BZ30" s="18">
        <v>0</v>
      </c>
      <c r="CA30" s="18">
        <v>0</v>
      </c>
      <c r="CB30" s="18">
        <v>2</v>
      </c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3</v>
      </c>
      <c r="CT30" s="84">
        <f t="shared" si="5"/>
        <v>201</v>
      </c>
      <c r="CU30" s="84">
        <f t="shared" si="6"/>
        <v>129</v>
      </c>
      <c r="CV30" s="84">
        <f t="shared" si="7"/>
        <v>30</v>
      </c>
      <c r="CW30" s="84">
        <f t="shared" si="8"/>
        <v>72</v>
      </c>
      <c r="CX30" s="84">
        <f t="shared" si="9"/>
        <v>231</v>
      </c>
      <c r="CZ30" s="84">
        <f t="shared" si="10"/>
        <v>1</v>
      </c>
      <c r="DA30" s="84">
        <f t="shared" si="3"/>
        <v>14.4375</v>
      </c>
      <c r="DC30" s="84">
        <f t="shared" si="11"/>
        <v>220</v>
      </c>
      <c r="DD30" s="84">
        <f t="shared" si="12"/>
        <v>8</v>
      </c>
      <c r="DE30" s="84">
        <f t="shared" si="4"/>
        <v>0</v>
      </c>
      <c r="DF30" s="84">
        <f t="shared" si="13"/>
        <v>3</v>
      </c>
    </row>
    <row r="31" spans="1:110">
      <c r="A31" s="1" t="s">
        <v>104</v>
      </c>
      <c r="B31" s="1">
        <v>327</v>
      </c>
      <c r="C31" s="17" t="s">
        <v>131</v>
      </c>
      <c r="D31" s="18"/>
      <c r="E31" s="18"/>
      <c r="F31" s="19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T31" s="84">
        <f t="shared" si="5"/>
        <v>0</v>
      </c>
      <c r="CU31" s="84">
        <f t="shared" si="6"/>
        <v>0</v>
      </c>
      <c r="CV31" s="84">
        <f t="shared" si="7"/>
        <v>0</v>
      </c>
      <c r="CW31" s="84">
        <f t="shared" si="8"/>
        <v>0</v>
      </c>
      <c r="CX31" s="84">
        <f t="shared" si="9"/>
        <v>0</v>
      </c>
      <c r="CZ31" s="84">
        <f t="shared" si="10"/>
        <v>0</v>
      </c>
      <c r="DA31" s="84">
        <f t="shared" si="3"/>
        <v>0</v>
      </c>
      <c r="DC31" s="84">
        <f t="shared" si="11"/>
        <v>0</v>
      </c>
      <c r="DD31" s="84">
        <f t="shared" si="12"/>
        <v>0</v>
      </c>
      <c r="DE31" s="84">
        <f t="shared" si="4"/>
        <v>0</v>
      </c>
      <c r="DF31" s="84">
        <f t="shared" si="13"/>
        <v>0</v>
      </c>
    </row>
    <row r="32" spans="1:110">
      <c r="A32" s="1" t="s">
        <v>104</v>
      </c>
      <c r="B32" s="1">
        <v>328</v>
      </c>
      <c r="C32" s="17" t="s">
        <v>132</v>
      </c>
      <c r="D32" s="18"/>
      <c r="E32" s="18"/>
      <c r="F32" s="19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T32" s="84">
        <f t="shared" si="5"/>
        <v>0</v>
      </c>
      <c r="CU32" s="84">
        <f t="shared" si="6"/>
        <v>0</v>
      </c>
      <c r="CV32" s="84">
        <f t="shared" si="7"/>
        <v>0</v>
      </c>
      <c r="CW32" s="84">
        <f t="shared" si="8"/>
        <v>0</v>
      </c>
      <c r="CX32" s="84">
        <f t="shared" si="9"/>
        <v>0</v>
      </c>
      <c r="CZ32" s="84">
        <f t="shared" si="10"/>
        <v>0</v>
      </c>
      <c r="DA32" s="84">
        <f t="shared" si="3"/>
        <v>0</v>
      </c>
      <c r="DC32" s="84">
        <f t="shared" si="11"/>
        <v>0</v>
      </c>
      <c r="DD32" s="84">
        <f t="shared" si="12"/>
        <v>0</v>
      </c>
      <c r="DE32" s="84">
        <f t="shared" si="4"/>
        <v>0</v>
      </c>
      <c r="DF32" s="84">
        <f t="shared" si="13"/>
        <v>0</v>
      </c>
    </row>
    <row r="33" spans="1:110">
      <c r="A33" s="1" t="s">
        <v>104</v>
      </c>
      <c r="B33" s="1">
        <v>329</v>
      </c>
      <c r="C33" s="17" t="s">
        <v>133</v>
      </c>
      <c r="D33" s="18"/>
      <c r="E33" s="18"/>
      <c r="F33" s="19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T33" s="84">
        <f t="shared" si="5"/>
        <v>0</v>
      </c>
      <c r="CU33" s="84">
        <f t="shared" si="6"/>
        <v>0</v>
      </c>
      <c r="CV33" s="84">
        <f t="shared" si="7"/>
        <v>0</v>
      </c>
      <c r="CW33" s="84">
        <f t="shared" si="8"/>
        <v>0</v>
      </c>
      <c r="CX33" s="84">
        <f t="shared" si="9"/>
        <v>0</v>
      </c>
      <c r="CZ33" s="84">
        <f t="shared" si="10"/>
        <v>0</v>
      </c>
      <c r="DA33" s="84">
        <f t="shared" si="3"/>
        <v>0</v>
      </c>
      <c r="DC33" s="84">
        <f t="shared" si="11"/>
        <v>0</v>
      </c>
      <c r="DD33" s="84">
        <f t="shared" si="12"/>
        <v>0</v>
      </c>
      <c r="DE33" s="84">
        <f t="shared" si="4"/>
        <v>0</v>
      </c>
      <c r="DF33" s="84">
        <f t="shared" si="13"/>
        <v>0</v>
      </c>
    </row>
    <row r="34" spans="1:110">
      <c r="A34" s="1" t="s">
        <v>104</v>
      </c>
      <c r="B34" s="1">
        <v>330</v>
      </c>
      <c r="C34" s="17" t="s">
        <v>134</v>
      </c>
      <c r="D34" s="18"/>
      <c r="E34" s="18"/>
      <c r="F34" s="19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T34" s="84">
        <f t="shared" si="5"/>
        <v>0</v>
      </c>
      <c r="CU34" s="84">
        <f t="shared" si="6"/>
        <v>0</v>
      </c>
      <c r="CV34" s="84">
        <f t="shared" si="7"/>
        <v>0</v>
      </c>
      <c r="CW34" s="84">
        <f t="shared" si="8"/>
        <v>0</v>
      </c>
      <c r="CX34" s="84">
        <f t="shared" si="9"/>
        <v>0</v>
      </c>
      <c r="CZ34" s="84">
        <f t="shared" si="10"/>
        <v>0</v>
      </c>
      <c r="DA34" s="84">
        <f t="shared" si="3"/>
        <v>0</v>
      </c>
      <c r="DC34" s="84">
        <f t="shared" si="11"/>
        <v>0</v>
      </c>
      <c r="DD34" s="84">
        <f t="shared" si="12"/>
        <v>0</v>
      </c>
      <c r="DE34" s="84">
        <f t="shared" si="4"/>
        <v>0</v>
      </c>
      <c r="DF34" s="84">
        <f t="shared" si="13"/>
        <v>0</v>
      </c>
    </row>
    <row r="35" spans="1:110">
      <c r="A35" s="1" t="s">
        <v>104</v>
      </c>
      <c r="B35" s="1">
        <v>331</v>
      </c>
      <c r="C35" s="17" t="s">
        <v>135</v>
      </c>
      <c r="D35" s="18"/>
      <c r="E35" s="18"/>
      <c r="F35" s="19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T35" s="84">
        <f t="shared" si="5"/>
        <v>0</v>
      </c>
      <c r="CU35" s="84">
        <f t="shared" si="6"/>
        <v>0</v>
      </c>
      <c r="CV35" s="84">
        <f t="shared" si="7"/>
        <v>0</v>
      </c>
      <c r="CW35" s="84">
        <f t="shared" si="8"/>
        <v>0</v>
      </c>
      <c r="CX35" s="84">
        <f t="shared" si="9"/>
        <v>0</v>
      </c>
      <c r="CZ35" s="84">
        <f t="shared" si="10"/>
        <v>0</v>
      </c>
      <c r="DA35" s="84">
        <f t="shared" si="3"/>
        <v>0</v>
      </c>
      <c r="DC35" s="84">
        <f t="shared" si="11"/>
        <v>0</v>
      </c>
      <c r="DD35" s="84">
        <f t="shared" si="12"/>
        <v>0</v>
      </c>
      <c r="DE35" s="84">
        <f t="shared" si="4"/>
        <v>0</v>
      </c>
      <c r="DF35" s="84">
        <f t="shared" si="13"/>
        <v>0</v>
      </c>
    </row>
    <row r="39" s="1" customFormat="1" spans="12:110"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W39" s="85"/>
      <c r="DA39" s="2"/>
      <c r="DB39"/>
      <c r="DC39"/>
      <c r="DD39"/>
      <c r="DE39"/>
      <c r="DF39"/>
    </row>
    <row r="40" s="1" customFormat="1" spans="12:110"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W40" s="85"/>
      <c r="DA40" s="2"/>
      <c r="DB40"/>
      <c r="DC40"/>
      <c r="DD40"/>
      <c r="DE40"/>
      <c r="DF40"/>
    </row>
    <row r="41" s="1" customFormat="1" spans="12:110"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DA41" s="2"/>
      <c r="DB41"/>
      <c r="DC41"/>
      <c r="DD41"/>
      <c r="DE41"/>
      <c r="DF41"/>
    </row>
    <row r="42" s="1" customFormat="1" spans="12:110"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W42" s="85"/>
      <c r="DA42" s="2"/>
      <c r="DB42"/>
      <c r="DC42"/>
      <c r="DD42"/>
      <c r="DE42"/>
      <c r="DF42"/>
    </row>
    <row r="43" spans="70:70">
      <c r="BR43" t="s">
        <v>136</v>
      </c>
    </row>
  </sheetData>
  <mergeCells count="16">
    <mergeCell ref="BD1:BK1"/>
    <mergeCell ref="BL1:CB1"/>
    <mergeCell ref="CC1:CL1"/>
    <mergeCell ref="CM1:CR1"/>
    <mergeCell ref="G2:H2"/>
    <mergeCell ref="I2:K2"/>
    <mergeCell ref="L2:S2"/>
    <mergeCell ref="T2:AG2"/>
    <mergeCell ref="AJ2:BC2"/>
    <mergeCell ref="BD2:BK2"/>
    <mergeCell ref="BL2:BO2"/>
    <mergeCell ref="BP2:CB2"/>
    <mergeCell ref="CC2:CF2"/>
    <mergeCell ref="CG2:CL2"/>
    <mergeCell ref="CM2:CR2"/>
    <mergeCell ref="CT2:DF2"/>
  </mergeCells>
  <conditionalFormatting sqref="CX5:CX35">
    <cfRule type="cellIs" dxfId="0" priority="3" operator="lessThanOrEqual">
      <formula>49</formula>
    </cfRule>
    <cfRule type="cellIs" dxfId="1" priority="2" operator="between">
      <formula>50</formula>
      <formula>179</formula>
    </cfRule>
    <cfRule type="cellIs" dxfId="2" priority="1" operator="greaterThan">
      <formula>180</formula>
    </cfRule>
  </conditionalFormatting>
  <dataValidations count="2">
    <dataValidation allowBlank="1" showInputMessage="1" showErrorMessage="1" errorTitle="SISPAI" error="INGRESE SÓLO NÚMEROS ENTEROS&#10;(Evite utilizar signos de puntuación)" sqref="D4:CR4 CZ4:CZ35 CT4:CX35"/>
    <dataValidation allowBlank="1" showInputMessage="1" showErrorMessage="1" errorTitle="SISPAI" error="INGRESE SÓLO NÚMEROS ENTEROS (Evite utilizar signos de puntuación)" sqref="S8 AY8:BB8"/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SE-01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Yelitza</dc:creator>
  <cp:lastModifiedBy>Inmunización ASIC GUANIPA2024</cp:lastModifiedBy>
  <dcterms:created xsi:type="dcterms:W3CDTF">2025-01-09T21:11:00Z</dcterms:created>
  <dcterms:modified xsi:type="dcterms:W3CDTF">2026-04-10T18:54:46Z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502501A5717444569C9EC260D7912AEC_13</vt:lpwstr>
  </property>
  <property fmtid="{D5CDD505-2E9C-101B-9397-08002B2CF9AE}" pid="3" name="KSOProductBuildVer">
    <vt:lpwstr>3082-12.2.0.23201</vt:lpwstr>
  </property>
</Properties>
</file>